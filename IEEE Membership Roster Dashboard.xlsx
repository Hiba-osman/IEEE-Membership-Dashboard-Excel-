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120" yWindow="90" windowWidth="10515" windowHeight="7755" activeTab="3"/>
  </bookViews>
  <sheets>
    <sheet name="README" sheetId="1" r:id="rId1"/>
    <sheet name="Data" sheetId="2" r:id="rId2"/>
    <sheet name="Summary" sheetId="3" r:id="rId3"/>
    <sheet name="Dashboard" sheetId="4" r:id="rId4"/>
    <sheet name="Lists" sheetId="5" r:id="rId5"/>
    <sheet name="Pivots" sheetId="6" r:id="rId6"/>
  </sheets>
  <definedNames>
    <definedName name="GradeList">Lists!$D$2:$D$7</definedName>
    <definedName name="Sections">Lists!$G$2:$G$9</definedName>
    <definedName name="Slicer_Grade">#N/A</definedName>
    <definedName name="Slicer_Section">#N/A</definedName>
  </definedNames>
  <calcPr calcId="144525"/>
  <pivotCaches>
    <pivotCache cacheId="4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4" l="1"/>
  <c r="A2" i="4"/>
  <c r="B2" i="4"/>
  <c r="C2" i="4"/>
  <c r="C33" i="3"/>
  <c r="C34" i="3"/>
  <c r="C35" i="3"/>
  <c r="C36" i="3"/>
  <c r="C37" i="3"/>
  <c r="C38" i="3"/>
  <c r="C39" i="3"/>
  <c r="C40" i="3"/>
  <c r="C41" i="3"/>
  <c r="B33" i="3"/>
  <c r="B34" i="3"/>
  <c r="B35" i="3"/>
  <c r="B36" i="3"/>
  <c r="B37" i="3"/>
  <c r="B38" i="3"/>
  <c r="B39" i="3"/>
  <c r="B40" i="3"/>
  <c r="B41" i="3"/>
  <c r="C32" i="3"/>
  <c r="B32" i="3"/>
  <c r="B21" i="3"/>
  <c r="B22" i="3"/>
  <c r="B23" i="3"/>
  <c r="B24" i="3"/>
  <c r="B25" i="3"/>
  <c r="B26" i="3"/>
  <c r="B27" i="3"/>
  <c r="B20" i="3"/>
  <c r="C28" i="3"/>
  <c r="D28" i="3"/>
  <c r="D20" i="3"/>
  <c r="D21" i="3"/>
  <c r="D22" i="3"/>
  <c r="D23" i="3"/>
  <c r="D24" i="3"/>
  <c r="D25" i="3"/>
  <c r="D26" i="3"/>
  <c r="D27" i="3"/>
  <c r="C21" i="3"/>
  <c r="C22" i="3"/>
  <c r="C23" i="3"/>
  <c r="C24" i="3"/>
  <c r="C25" i="3"/>
  <c r="C26" i="3"/>
  <c r="C27" i="3"/>
  <c r="C20" i="3"/>
  <c r="B10" i="3"/>
  <c r="B11" i="3"/>
  <c r="B12" i="3"/>
  <c r="B13" i="3"/>
  <c r="B14" i="3"/>
  <c r="B15" i="3"/>
  <c r="C10" i="3"/>
  <c r="C16" i="3" s="1"/>
  <c r="C11" i="3"/>
  <c r="C12" i="3"/>
  <c r="C13" i="3"/>
  <c r="C14" i="3"/>
  <c r="C15" i="3"/>
  <c r="D10" i="3"/>
  <c r="D11" i="3"/>
  <c r="D12" i="3"/>
  <c r="D13" i="3"/>
  <c r="D14" i="3"/>
  <c r="D15" i="3"/>
  <c r="B4" i="3"/>
  <c r="B2" i="3"/>
  <c r="B5" i="3"/>
  <c r="B1" i="3"/>
  <c r="L152" i="2"/>
  <c r="B28" i="3" l="1"/>
  <c r="B3" i="3"/>
  <c r="B16" i="3"/>
</calcChain>
</file>

<file path=xl/sharedStrings.xml><?xml version="1.0" encoding="utf-8"?>
<sst xmlns="http://schemas.openxmlformats.org/spreadsheetml/2006/main" count="1339" uniqueCount="346">
  <si>
    <t>Ahmed</t>
  </si>
  <si>
    <t>Fatima</t>
  </si>
  <si>
    <t>Mohamed</t>
  </si>
  <si>
    <t>Sara</t>
  </si>
  <si>
    <t>Omar</t>
  </si>
  <si>
    <t>Khalid</t>
  </si>
  <si>
    <t>Aisha</t>
  </si>
  <si>
    <t>Yousef</t>
  </si>
  <si>
    <t>Mariam</t>
  </si>
  <si>
    <t>Hassan</t>
  </si>
  <si>
    <t>Nour</t>
  </si>
  <si>
    <t>Ibrahim</t>
  </si>
  <si>
    <t>Layla</t>
  </si>
  <si>
    <t>Tarig</t>
  </si>
  <si>
    <t>Rania</t>
  </si>
  <si>
    <t>Ali</t>
  </si>
  <si>
    <t>Osman</t>
  </si>
  <si>
    <t>Elamin</t>
  </si>
  <si>
    <t>Abdalla</t>
  </si>
  <si>
    <t>Idris</t>
  </si>
  <si>
    <t>Musa</t>
  </si>
  <si>
    <t>Bashir</t>
  </si>
  <si>
    <t>Salih</t>
  </si>
  <si>
    <t>Adam</t>
  </si>
  <si>
    <t>Hamad</t>
  </si>
  <si>
    <t>Karrar</t>
  </si>
  <si>
    <t>Siddig</t>
  </si>
  <si>
    <t>Fadl</t>
  </si>
  <si>
    <t>Grade</t>
  </si>
  <si>
    <t>Student</t>
  </si>
  <si>
    <t>Grad Student</t>
  </si>
  <si>
    <t>Associate</t>
  </si>
  <si>
    <t>Member</t>
  </si>
  <si>
    <t>Senior Member</t>
  </si>
  <si>
    <t>Fellow</t>
  </si>
  <si>
    <t>Standard Dues</t>
  </si>
  <si>
    <t>Section</t>
  </si>
  <si>
    <t>Khartoum</t>
  </si>
  <si>
    <t>Omdurman</t>
  </si>
  <si>
    <t>Port Sudan</t>
  </si>
  <si>
    <t>Wad Madani</t>
  </si>
  <si>
    <t>Kassala</t>
  </si>
  <si>
    <t>El Obeid</t>
  </si>
  <si>
    <t>Nyala</t>
  </si>
  <si>
    <t>Atbara</t>
  </si>
  <si>
    <t>Dues Status</t>
  </si>
  <si>
    <t>Paid</t>
  </si>
  <si>
    <t>Unpaid</t>
  </si>
  <si>
    <t>Waived</t>
  </si>
  <si>
    <t>Member ID</t>
  </si>
  <si>
    <t>First Name</t>
  </si>
  <si>
    <t>First names</t>
  </si>
  <si>
    <t>Last names</t>
  </si>
  <si>
    <t>Last Name</t>
  </si>
  <si>
    <t>Join Date</t>
  </si>
  <si>
    <t>Dues Amount</t>
  </si>
  <si>
    <t>Events Attended</t>
  </si>
  <si>
    <t>Last Activity</t>
  </si>
  <si>
    <t>Membership Status</t>
  </si>
  <si>
    <t>Email</t>
  </si>
  <si>
    <t>SUD-0001</t>
  </si>
  <si>
    <t>Lapsed</t>
  </si>
  <si>
    <t>nour.idris@example.org</t>
  </si>
  <si>
    <t>SUD-0002</t>
  </si>
  <si>
    <t>omar.salih@example.org</t>
  </si>
  <si>
    <t>SUD-0003</t>
  </si>
  <si>
    <t>layla.siddig@example.org</t>
  </si>
  <si>
    <t>SUD-0004</t>
  </si>
  <si>
    <t>mohamed.idris@example.org</t>
  </si>
  <si>
    <t>SUD-0005</t>
  </si>
  <si>
    <t>Active</t>
  </si>
  <si>
    <t>fatima.osman@example.org</t>
  </si>
  <si>
    <t>SUD-0006</t>
  </si>
  <si>
    <t>mariam.musa@example.org</t>
  </si>
  <si>
    <t>SUD-0007</t>
  </si>
  <si>
    <t>sara.abdalla@example.org</t>
  </si>
  <si>
    <t>SUD-0008</t>
  </si>
  <si>
    <t>khalid.salih@example.org</t>
  </si>
  <si>
    <t>SUD-0009</t>
  </si>
  <si>
    <t>omar.fadl@example.org</t>
  </si>
  <si>
    <t>SUD-0010</t>
  </si>
  <si>
    <t>nour.salih@example.org</t>
  </si>
  <si>
    <t>SUD-0011</t>
  </si>
  <si>
    <t>sara.osman@example.org</t>
  </si>
  <si>
    <t>SUD-0012</t>
  </si>
  <si>
    <t>ibrahim.karrar@example.org</t>
  </si>
  <si>
    <t>SUD-0013</t>
  </si>
  <si>
    <t>hassan.salih@example.org</t>
  </si>
  <si>
    <t>SUD-0014</t>
  </si>
  <si>
    <t>tarig.siddig@example.org</t>
  </si>
  <si>
    <t>SUD-0015</t>
  </si>
  <si>
    <t>layla.abdalla@example.org</t>
  </si>
  <si>
    <t>SUD-0016</t>
  </si>
  <si>
    <t>hassan.karrar@example.org</t>
  </si>
  <si>
    <t>SUD-0017</t>
  </si>
  <si>
    <t>khalid.fadl@example.org</t>
  </si>
  <si>
    <t>SUD-0018</t>
  </si>
  <si>
    <t>mohamed.karrar@example.org</t>
  </si>
  <si>
    <t>SUD-0019</t>
  </si>
  <si>
    <t>hassan.idris@example.org</t>
  </si>
  <si>
    <t>SUD-0020</t>
  </si>
  <si>
    <t>tarig.hamad@example.org</t>
  </si>
  <si>
    <t>SUD-0021</t>
  </si>
  <si>
    <t>SUD-0022</t>
  </si>
  <si>
    <t>layla.fadl@example.org</t>
  </si>
  <si>
    <t>SUD-0023</t>
  </si>
  <si>
    <t>SUD-0024</t>
  </si>
  <si>
    <t>fatima.nour@example.org</t>
  </si>
  <si>
    <t>SUD-0025</t>
  </si>
  <si>
    <t>rania.elamin@example.org</t>
  </si>
  <si>
    <t>SUD-0026</t>
  </si>
  <si>
    <t>tarig.idris@example.org</t>
  </si>
  <si>
    <t>SUD-0027</t>
  </si>
  <si>
    <t>mohamed.abdalla@example.org</t>
  </si>
  <si>
    <t>SUD-0028</t>
  </si>
  <si>
    <t>yousef.ali@example.org</t>
  </si>
  <si>
    <t>SUD-0029</t>
  </si>
  <si>
    <t>aisha.hamad@example.org</t>
  </si>
  <si>
    <t>SUD-0030</t>
  </si>
  <si>
    <t>tarig.nour@example.org</t>
  </si>
  <si>
    <t>SUD-0031</t>
  </si>
  <si>
    <t>aisha.idris@example.org</t>
  </si>
  <si>
    <t>SUD-0032</t>
  </si>
  <si>
    <t>aisha.elamin@example.org</t>
  </si>
  <si>
    <t>SUD-0033</t>
  </si>
  <si>
    <t>SUD-0034</t>
  </si>
  <si>
    <t>mariam.adam@example.org</t>
  </si>
  <si>
    <t>SUD-0035</t>
  </si>
  <si>
    <t>tarig.abdalla@example.org</t>
  </si>
  <si>
    <t>SUD-0036</t>
  </si>
  <si>
    <t>SUD-0037</t>
  </si>
  <si>
    <t>yousef.siddig@example.org</t>
  </si>
  <si>
    <t>SUD-0038</t>
  </si>
  <si>
    <t>mariam.abdalla@example.org</t>
  </si>
  <si>
    <t>SUD-0039</t>
  </si>
  <si>
    <t>SUD-0040</t>
  </si>
  <si>
    <t>ibrahim.musa@example.org</t>
  </si>
  <si>
    <t>SUD-0041</t>
  </si>
  <si>
    <t>ahmed.bashir@example.org</t>
  </si>
  <si>
    <t>SUD-0042</t>
  </si>
  <si>
    <t>ahmed.nour@example.org</t>
  </si>
  <si>
    <t>SUD-0043</t>
  </si>
  <si>
    <t>fatima.adam@example.org</t>
  </si>
  <si>
    <t>SUD-0044</t>
  </si>
  <si>
    <t>SUD-0045</t>
  </si>
  <si>
    <t>SUD-0046</t>
  </si>
  <si>
    <t>SUD-0047</t>
  </si>
  <si>
    <t>mohamed.elamin@example.org</t>
  </si>
  <si>
    <t>SUD-0048</t>
  </si>
  <si>
    <t>fatima.salih@example.org</t>
  </si>
  <si>
    <t>SUD-0049</t>
  </si>
  <si>
    <t>hassan.hamad@example.org</t>
  </si>
  <si>
    <t>SUD-0050</t>
  </si>
  <si>
    <t>hassan.osman@example.org</t>
  </si>
  <si>
    <t>SUD-0051</t>
  </si>
  <si>
    <t>aisha.bashir@example.org</t>
  </si>
  <si>
    <t>SUD-0052</t>
  </si>
  <si>
    <t>sara.hassan@example.org</t>
  </si>
  <si>
    <t>SUD-0053</t>
  </si>
  <si>
    <t>SUD-0054</t>
  </si>
  <si>
    <t>SUD-0055</t>
  </si>
  <si>
    <t>ahmed.karrar@example.org</t>
  </si>
  <si>
    <t>SUD-0056</t>
  </si>
  <si>
    <t>SUD-0057</t>
  </si>
  <si>
    <t>ibrahim.salih@example.org</t>
  </si>
  <si>
    <t>SUD-0058</t>
  </si>
  <si>
    <t>ibrahim.nour@example.org</t>
  </si>
  <si>
    <t>SUD-0059</t>
  </si>
  <si>
    <t>hassan.ali@example.org</t>
  </si>
  <si>
    <t>SUD-0060</t>
  </si>
  <si>
    <t>layla.adam@example.org</t>
  </si>
  <si>
    <t>SUD-0061</t>
  </si>
  <si>
    <t>SUD-0062</t>
  </si>
  <si>
    <t>mohamed.hassan@example.org</t>
  </si>
  <si>
    <t>SUD-0063</t>
  </si>
  <si>
    <t>ahmed.adam@example.org</t>
  </si>
  <si>
    <t>SUD-0064</t>
  </si>
  <si>
    <t>yousef.karrar@example.org</t>
  </si>
  <si>
    <t>SUD-0065</t>
  </si>
  <si>
    <t>omar.hassan@example.org</t>
  </si>
  <si>
    <t>SUD-0066</t>
  </si>
  <si>
    <t>SUD-0067</t>
  </si>
  <si>
    <t>rania.siddig@example.org</t>
  </si>
  <si>
    <t>SUD-0068</t>
  </si>
  <si>
    <t>SUD-0069</t>
  </si>
  <si>
    <t>khalid.siddig@example.org</t>
  </si>
  <si>
    <t>SUD-0070</t>
  </si>
  <si>
    <t>sara.salih@example.org</t>
  </si>
  <si>
    <t>SUD-0071</t>
  </si>
  <si>
    <t>nour.fadl@example.org</t>
  </si>
  <si>
    <t>SUD-0072</t>
  </si>
  <si>
    <t>SUD-0073</t>
  </si>
  <si>
    <t>SUD-0074</t>
  </si>
  <si>
    <t>fatima.siddig@example.org</t>
  </si>
  <si>
    <t>SUD-0075</t>
  </si>
  <si>
    <t>yousef.hassan@example.org</t>
  </si>
  <si>
    <t>SUD-0076</t>
  </si>
  <si>
    <t>mariam.bashir@example.org</t>
  </si>
  <si>
    <t>SUD-0077</t>
  </si>
  <si>
    <t>rania.musa@example.org</t>
  </si>
  <si>
    <t>SUD-0078</t>
  </si>
  <si>
    <t>aisha.adam@example.org</t>
  </si>
  <si>
    <t>SUD-0079</t>
  </si>
  <si>
    <t>ibrahim.idris@example.org</t>
  </si>
  <si>
    <t>SUD-0080</t>
  </si>
  <si>
    <t>yousef.idris@example.org</t>
  </si>
  <si>
    <t>SUD-0081</t>
  </si>
  <si>
    <t>mohamed.siddig@example.org</t>
  </si>
  <si>
    <t>SUD-0082</t>
  </si>
  <si>
    <t>rania.hamad@example.org</t>
  </si>
  <si>
    <t>SUD-0083</t>
  </si>
  <si>
    <t>ibrahim.siddig@example.org</t>
  </si>
  <si>
    <t>SUD-0084</t>
  </si>
  <si>
    <t>rania.idris@example.org</t>
  </si>
  <si>
    <t>SUD-0085</t>
  </si>
  <si>
    <t>SUD-0086</t>
  </si>
  <si>
    <t>SUD-0087</t>
  </si>
  <si>
    <t>hassan.abdalla@example.org</t>
  </si>
  <si>
    <t>SUD-0088</t>
  </si>
  <si>
    <t>mariam.elamin@example.org</t>
  </si>
  <si>
    <t>SUD-0089</t>
  </si>
  <si>
    <t>SUD-0090</t>
  </si>
  <si>
    <t>mohamed.nour@example.org</t>
  </si>
  <si>
    <t>SUD-0091</t>
  </si>
  <si>
    <t>SUD-0092</t>
  </si>
  <si>
    <t>tarig.musa@example.org</t>
  </si>
  <si>
    <t>SUD-0093</t>
  </si>
  <si>
    <t>mohamed.hamad@example.org</t>
  </si>
  <si>
    <t>SUD-0094</t>
  </si>
  <si>
    <t>hassan.hassan@example.org</t>
  </si>
  <si>
    <t>SUD-0095</t>
  </si>
  <si>
    <t>SUD-0096</t>
  </si>
  <si>
    <t>layla.hamad@example.org</t>
  </si>
  <si>
    <t>SUD-0097</t>
  </si>
  <si>
    <t>sara.adam@example.org</t>
  </si>
  <si>
    <t>SUD-0098</t>
  </si>
  <si>
    <t>SUD-0099</t>
  </si>
  <si>
    <t>aisha.fadl@example.org</t>
  </si>
  <si>
    <t>SUD-0100</t>
  </si>
  <si>
    <t>SUD-0101</t>
  </si>
  <si>
    <t>hassan.siddig@example.org</t>
  </si>
  <si>
    <t>SUD-0102</t>
  </si>
  <si>
    <t>SUD-0103</t>
  </si>
  <si>
    <t>SUD-0104</t>
  </si>
  <si>
    <t>mariam.fadl@example.org</t>
  </si>
  <si>
    <t>SUD-0105</t>
  </si>
  <si>
    <t>omar.osman@example.org</t>
  </si>
  <si>
    <t>SUD-0106</t>
  </si>
  <si>
    <t>fatima.abdalla@example.org</t>
  </si>
  <si>
    <t>SUD-0107</t>
  </si>
  <si>
    <t>sara.fadl@example.org</t>
  </si>
  <si>
    <t>SUD-0108</t>
  </si>
  <si>
    <t>SUD-0109</t>
  </si>
  <si>
    <t>yousef.hamad@example.org</t>
  </si>
  <si>
    <t>SUD-0110</t>
  </si>
  <si>
    <t>SUD-0111</t>
  </si>
  <si>
    <t>nour.abdalla@example.org</t>
  </si>
  <si>
    <t>SUD-0112</t>
  </si>
  <si>
    <t>ibrahim.bashir@example.org</t>
  </si>
  <si>
    <t>SUD-0113</t>
  </si>
  <si>
    <t>sara.ali@example.org</t>
  </si>
  <si>
    <t>SUD-0114</t>
  </si>
  <si>
    <t>SUD-0115</t>
  </si>
  <si>
    <t>ibrahim.fadl@example.org</t>
  </si>
  <si>
    <t>SUD-0116</t>
  </si>
  <si>
    <t>nour.siddig@example.org</t>
  </si>
  <si>
    <t>SUD-0117</t>
  </si>
  <si>
    <t>SUD-0118</t>
  </si>
  <si>
    <t>aisha.hassan@example.org</t>
  </si>
  <si>
    <t>SUD-0119</t>
  </si>
  <si>
    <t>aisha.abdalla@example.org</t>
  </si>
  <si>
    <t>SUD-0120</t>
  </si>
  <si>
    <t>mariam.nour@example.org</t>
  </si>
  <si>
    <t>SUD-0121</t>
  </si>
  <si>
    <t>SUD-0122</t>
  </si>
  <si>
    <t>SUD-0123</t>
  </si>
  <si>
    <t>SUD-0124</t>
  </si>
  <si>
    <t>SUD-0125</t>
  </si>
  <si>
    <t>SUD-0126</t>
  </si>
  <si>
    <t>mohamed.fadl@example.org</t>
  </si>
  <si>
    <t>SUD-0127</t>
  </si>
  <si>
    <t>ibrahim.abdalla@example.org</t>
  </si>
  <si>
    <t>SUD-0128</t>
  </si>
  <si>
    <t>khalid.hassan@example.org</t>
  </si>
  <si>
    <t>SUD-0129</t>
  </si>
  <si>
    <t>ahmed.hassan@example.org</t>
  </si>
  <si>
    <t>SUD-0130</t>
  </si>
  <si>
    <t>SUD-0131</t>
  </si>
  <si>
    <t>rania.fadl@example.org</t>
  </si>
  <si>
    <t>SUD-0132</t>
  </si>
  <si>
    <t>sara.karrar@example.org</t>
  </si>
  <si>
    <t>SUD-0133</t>
  </si>
  <si>
    <t>SUD-0134</t>
  </si>
  <si>
    <t>SUD-0135</t>
  </si>
  <si>
    <t>SUD-0136</t>
  </si>
  <si>
    <t>yousef.osman@example.org</t>
  </si>
  <si>
    <t>SUD-0137</t>
  </si>
  <si>
    <t>ahmed.osman@example.org</t>
  </si>
  <si>
    <t>SUD-0138</t>
  </si>
  <si>
    <t>fatima.hamad@example.org</t>
  </si>
  <si>
    <t>SUD-0139</t>
  </si>
  <si>
    <t>SUD-0140</t>
  </si>
  <si>
    <t>SUD-0141</t>
  </si>
  <si>
    <t>SUD-0142</t>
  </si>
  <si>
    <t>yousef.abdalla@example.org</t>
  </si>
  <si>
    <t>SUD-0143</t>
  </si>
  <si>
    <t>omar.elamin@example.org</t>
  </si>
  <si>
    <t>SUD-0144</t>
  </si>
  <si>
    <t>SUD-0145</t>
  </si>
  <si>
    <t>SUD-0146</t>
  </si>
  <si>
    <t>SUD-0147</t>
  </si>
  <si>
    <t>mohamed.osman@example.org</t>
  </si>
  <si>
    <t>SUD-0148</t>
  </si>
  <si>
    <t>nour.nour@example.org</t>
  </si>
  <si>
    <t>SUD-0149</t>
  </si>
  <si>
    <t>rania.karrar@example.org</t>
  </si>
  <si>
    <t>SUD-0150</t>
  </si>
  <si>
    <t>Total members</t>
  </si>
  <si>
    <t>Active rate</t>
  </si>
  <si>
    <t>Dues collected</t>
  </si>
  <si>
    <t>Avg events</t>
  </si>
  <si>
    <t>Members</t>
  </si>
  <si>
    <t>Totals</t>
  </si>
  <si>
    <t>Active members</t>
  </si>
  <si>
    <t>Year (2016–2025)</t>
  </si>
  <si>
    <t>New members</t>
  </si>
  <si>
    <t>Cumulative</t>
  </si>
  <si>
    <t>Row Labels</t>
  </si>
  <si>
    <t>Count of Member ID</t>
  </si>
  <si>
    <t>2016</t>
  </si>
  <si>
    <t>2017</t>
  </si>
  <si>
    <t>2018</t>
  </si>
  <si>
    <t>2019</t>
  </si>
  <si>
    <t>2020</t>
  </si>
  <si>
    <t>2021</t>
  </si>
  <si>
    <t>2022</t>
  </si>
  <si>
    <t>2023</t>
  </si>
  <si>
    <t>2024</t>
  </si>
  <si>
    <t>2025</t>
  </si>
  <si>
    <t>Sum of Dues Amount</t>
  </si>
  <si>
    <t>Total Members</t>
  </si>
  <si>
    <t>Active Members</t>
  </si>
  <si>
    <t>Active Rate</t>
  </si>
  <si>
    <t>Dues Collected</t>
  </si>
  <si>
    <t>IEEE Sudan — Membership Dashboard</t>
  </si>
  <si>
    <t>IEEE Sudan — Membership Roster Dashboard
PURPOSE
An interactive dashboard summarising membership growth, composition,
dues revenue and engagement for a hypothetical IEEE Sudan Subsection.
Built to demonstrate data preparation, validation, analysis and
visualisation in Excel.
DATA SOURCE
150 rows of SYNTHETIC member data, generated for portfolio
demonstration. No real IEEE members are represented. All names,
dates and amounts are randomly generated. Email addresses use the
reserved example.org domain.
HOW IT WAS BUILT
- 150 records generated with INDEX / RANDBETWEEN / DATE formulas
  driven by lookup lists, then frozen with Paste Special &gt; Values.
- Stored as a named Excel Table (Members) so ranges auto-expand.
- Grade and Section constrained with Data Validation lists.
- Derived columns: Dues Amount (VLOOKUP by grade),
  Membership Status (activity within 365 days).
- Summary sheet: COUNTIF / SUMIFS / AVERAGEIF / SUMPRODUCT.
- Four PivotTables and PivotCharts, filtered by two slicers
  (Section, Grade), connected to all four pivots.
- Dashboard: four KPI cards plus four charts.
DEFINITIONS
- Active: last activity within 365 days of the data snapshot.
- Lapsed: no activity in that window.
- Dues collected: status = Paid only. Assessed dues (paid + unpaid)
  total 6,865; collected total is 5,930.
- Waived: dues amount recorded as 0.
ASSUMPTIONS
- Dues amounts are illustrative, not IEEE's actual fee schedule.
- Events Attended is a generated count between 0 and 12.
- Membership Status is derived from Last Activity, not an official
  IEEE membership grade.
DATA SNAPSHOT
2026-10-03 (all "Active" figures are measured against this date).
HOW TO REFRESH
1. Replace the Members table contents with a real membership export,
   keeping the same column headers.
2. Right-click each PivotTable &gt; Refresh.
3. Update the snapshot date above and re-check the Active definition.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</si>
</sst>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74" formatCode="0.0"/>
  </numFmts>
  <fonts count="8" x14ac:knownFonts="1">
    <font>
      <sz val="11"/>
      <color theme="1"/>
      <name val="Calibri"/>
      <family val="2"/>
      <charset val="1"/>
      <scheme val="minor"/>
    </font>
    <font>
      <sz val="11"/>
      <color theme="1"/>
      <name val="Calibri"/>
      <family val="2"/>
      <charset val="1"/>
      <scheme val="minor"/>
    </font>
    <font>
      <sz val="12"/>
      <color theme="1"/>
      <name val="Calibri"/>
      <family val="2"/>
      <charset val="1"/>
      <scheme val="minor"/>
    </font>
    <font>
      <sz val="11"/>
      <color theme="1"/>
      <name val="Segoe UI"/>
      <family val="2"/>
    </font>
    <font>
      <b/>
      <sz val="11"/>
      <color theme="1"/>
      <name val="Calibri"/>
      <family val="2"/>
      <scheme val="minor"/>
    </font>
    <font>
      <b/>
      <sz val="16"/>
      <color theme="1"/>
      <name val="Calibri"/>
      <family val="2"/>
      <scheme val="minor"/>
    </font>
    <font>
      <b/>
      <sz val="20"/>
      <color theme="1"/>
      <name val="Calibri"/>
      <family val="2"/>
      <scheme val="minor"/>
    </font>
    <font>
      <sz val="12"/>
      <color theme="1"/>
      <name val="Comic Sans MS"/>
      <family val="4"/>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0" fontId="0" fillId="0" borderId="0" xfId="0" applyAlignment="1">
      <alignment horizontal="center"/>
    </xf>
    <xf numFmtId="0" fontId="2" fillId="0" borderId="0" xfId="0" applyFont="1" applyAlignment="1">
      <alignment horizontal="center" wrapText="1"/>
    </xf>
    <xf numFmtId="0" fontId="2" fillId="0" borderId="0" xfId="0" applyFont="1" applyAlignment="1">
      <alignment horizontal="center"/>
    </xf>
    <xf numFmtId="14" fontId="2" fillId="0" borderId="0" xfId="0" applyNumberFormat="1" applyFont="1" applyAlignment="1">
      <alignment horizontal="center"/>
    </xf>
    <xf numFmtId="0" fontId="3" fillId="0" borderId="0" xfId="0" applyFont="1" applyAlignment="1">
      <alignment horizontal="center"/>
    </xf>
    <xf numFmtId="0" fontId="0" fillId="0" borderId="1" xfId="0" applyBorder="1" applyAlignment="1">
      <alignment horizontal="center"/>
    </xf>
    <xf numFmtId="0" fontId="3" fillId="0" borderId="1" xfId="0" applyFont="1" applyBorder="1" applyAlignment="1">
      <alignment horizontal="center"/>
    </xf>
    <xf numFmtId="174" fontId="0" fillId="0" borderId="1" xfId="0" applyNumberFormat="1" applyBorder="1" applyAlignment="1">
      <alignment horizontal="center"/>
    </xf>
    <xf numFmtId="2" fontId="3" fillId="0" borderId="1" xfId="0" applyNumberFormat="1" applyFont="1" applyBorder="1" applyAlignment="1">
      <alignment horizontal="center"/>
    </xf>
    <xf numFmtId="3" fontId="0" fillId="0" borderId="1" xfId="0" applyNumberFormat="1" applyBorder="1" applyAlignment="1">
      <alignment horizontal="center"/>
    </xf>
    <xf numFmtId="3" fontId="3" fillId="0" borderId="1" xfId="0" applyNumberFormat="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10" fontId="0" fillId="0" borderId="10" xfId="2" applyNumberFormat="1" applyFont="1" applyBorder="1" applyAlignment="1">
      <alignment horizontal="center"/>
    </xf>
    <xf numFmtId="3" fontId="0" fillId="0" borderId="10" xfId="1" applyNumberFormat="1" applyFont="1" applyBorder="1" applyAlignment="1">
      <alignment horizontal="center"/>
    </xf>
    <xf numFmtId="0" fontId="0" fillId="0" borderId="11" xfId="0" applyBorder="1" applyAlignment="1">
      <alignment horizontal="center"/>
    </xf>
    <xf numFmtId="2" fontId="0" fillId="0" borderId="12" xfId="0" applyNumberFormat="1" applyBorder="1" applyAlignment="1">
      <alignment horizontal="center"/>
    </xf>
    <xf numFmtId="0" fontId="0" fillId="0" borderId="0" xfId="0" pivotButton="1"/>
    <xf numFmtId="0" fontId="0" fillId="0" borderId="0" xfId="0" applyNumberFormat="1"/>
    <xf numFmtId="0" fontId="0" fillId="0" borderId="0" xfId="0" applyAlignment="1">
      <alignment horizontal="left"/>
    </xf>
    <xf numFmtId="0" fontId="4" fillId="2" borderId="1" xfId="0" applyFont="1" applyFill="1" applyBorder="1" applyAlignment="1">
      <alignment horizontal="center" vertical="center"/>
    </xf>
    <xf numFmtId="0" fontId="6" fillId="2" borderId="1" xfId="0" applyFont="1" applyFill="1" applyBorder="1" applyAlignment="1">
      <alignment horizontal="center" vertical="center"/>
    </xf>
    <xf numFmtId="10" fontId="6" fillId="2" borderId="1" xfId="2" applyNumberFormat="1" applyFont="1" applyFill="1" applyBorder="1" applyAlignment="1">
      <alignment horizontal="center" vertical="center"/>
    </xf>
    <xf numFmtId="3" fontId="6" fillId="2" borderId="1" xfId="0" applyNumberFormat="1" applyFont="1" applyFill="1" applyBorder="1" applyAlignment="1">
      <alignment horizontal="center" vertical="center"/>
    </xf>
    <xf numFmtId="0" fontId="0" fillId="0" borderId="0" xfId="0" applyAlignment="1">
      <alignment horizontal="center"/>
    </xf>
    <xf numFmtId="0" fontId="5" fillId="0" borderId="0" xfId="0" applyFont="1" applyAlignment="1">
      <alignment horizontal="center"/>
    </xf>
    <xf numFmtId="0" fontId="7" fillId="0" borderId="0" xfId="0" applyFont="1" applyAlignment="1">
      <alignment wrapText="1"/>
    </xf>
  </cellXfs>
  <cellStyles count="3">
    <cellStyle name="Comma" xfId="1" builtinId="3"/>
    <cellStyle name="Normal" xfId="0" builtinId="0"/>
    <cellStyle name="Percent" xfId="2" builtinId="5"/>
  </cellStyles>
  <dxfs count="49">
    <dxf>
      <fill>
        <patternFill patternType="solid">
          <fgColor rgb="FFFF3F3F"/>
          <bgColor rgb="FFFF3333"/>
        </patternFill>
      </fill>
    </dxf>
    <dxf>
      <fill>
        <patternFill>
          <bgColor rgb="FFFF0000"/>
        </patternFill>
      </fill>
    </dxf>
    <dxf>
      <font>
        <color rgb="FF9C0006"/>
      </font>
      <fill>
        <patternFill>
          <bgColor rgb="FFFFC7CE"/>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4"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1"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3333"/>
      <color rgb="FFFF3F3F"/>
      <color rgb="FFFF151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[IEEE Membership Roster Dashboard.xlsx]Pivots!Growth</c:name>
    <c:fmtId val="4"/>
  </c:pivotSource>
  <c:chart>
    <c:title>
      <c:tx>
        <c:rich>
          <a:bodyPr/>
          <a:lstStyle/>
          <a:p>
            <a:pPr>
              <a:defRPr/>
            </a:pPr>
            <a:r>
              <a:rPr lang="en-US" sz="1800" b="1" i="0" u="none" strike="noStrike" baseline="0">
                <a:effectLst/>
              </a:rPr>
              <a:t>New Members per year, 2016-2025</a:t>
            </a:r>
            <a:endParaRPr lang="en-US"/>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Pivots!$B$1</c:f>
              <c:strCache>
                <c:ptCount val="1"/>
                <c:pt idx="0">
                  <c:v>Total</c:v>
                </c:pt>
              </c:strCache>
            </c:strRef>
          </c:tx>
          <c:cat>
            <c:strRef>
              <c:f>Pivots!$A$2:$A$11</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Pivots!$B$2:$B$11</c:f>
              <c:numCache>
                <c:formatCode>General</c:formatCode>
                <c:ptCount val="10"/>
                <c:pt idx="0">
                  <c:v>18</c:v>
                </c:pt>
                <c:pt idx="1">
                  <c:v>14</c:v>
                </c:pt>
                <c:pt idx="2">
                  <c:v>7</c:v>
                </c:pt>
                <c:pt idx="3">
                  <c:v>21</c:v>
                </c:pt>
                <c:pt idx="4">
                  <c:v>13</c:v>
                </c:pt>
                <c:pt idx="5">
                  <c:v>11</c:v>
                </c:pt>
                <c:pt idx="6">
                  <c:v>15</c:v>
                </c:pt>
                <c:pt idx="7">
                  <c:v>14</c:v>
                </c:pt>
                <c:pt idx="8">
                  <c:v>19</c:v>
                </c:pt>
                <c:pt idx="9">
                  <c:v>18</c:v>
                </c:pt>
              </c:numCache>
            </c:numRef>
          </c:val>
          <c:smooth val="0"/>
        </c:ser>
        <c:dLbls>
          <c:showLegendKey val="0"/>
          <c:showVal val="0"/>
          <c:showCatName val="0"/>
          <c:showSerName val="0"/>
          <c:showPercent val="0"/>
          <c:showBubbleSize val="0"/>
        </c:dLbls>
        <c:marker val="1"/>
        <c:smooth val="0"/>
        <c:axId val="409878528"/>
        <c:axId val="409881216"/>
      </c:lineChart>
      <c:catAx>
        <c:axId val="409878528"/>
        <c:scaling>
          <c:orientation val="minMax"/>
        </c:scaling>
        <c:delete val="0"/>
        <c:axPos val="b"/>
        <c:majorTickMark val="out"/>
        <c:minorTickMark val="none"/>
        <c:tickLblPos val="nextTo"/>
        <c:crossAx val="409881216"/>
        <c:crosses val="autoZero"/>
        <c:auto val="1"/>
        <c:lblAlgn val="ctr"/>
        <c:lblOffset val="100"/>
        <c:noMultiLvlLbl val="0"/>
      </c:catAx>
      <c:valAx>
        <c:axId val="409881216"/>
        <c:scaling>
          <c:orientation val="minMax"/>
        </c:scaling>
        <c:delete val="0"/>
        <c:axPos val="l"/>
        <c:majorGridlines/>
        <c:numFmt formatCode="General" sourceLinked="1"/>
        <c:majorTickMark val="out"/>
        <c:minorTickMark val="none"/>
        <c:tickLblPos val="nextTo"/>
        <c:crossAx val="40987852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[IEEE Membership Roster Dashboard.xlsx]Pivots!Grade</c:name>
    <c:fmtId val="2"/>
  </c:pivotSource>
  <c:chart>
    <c:title>
      <c:tx>
        <c:rich>
          <a:bodyPr/>
          <a:lstStyle/>
          <a:p>
            <a:pPr>
              <a:defRPr/>
            </a:pPr>
            <a:r>
              <a:rPr lang="en-US" sz="1800" b="1" i="0" u="none" strike="noStrike" baseline="0">
                <a:effectLst/>
              </a:rPr>
              <a:t>Headcount by grade</a:t>
            </a:r>
            <a:endParaRPr lang="en-US"/>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Pivots!$B$15</c:f>
              <c:strCache>
                <c:ptCount val="1"/>
                <c:pt idx="0">
                  <c:v>Total</c:v>
                </c:pt>
              </c:strCache>
            </c:strRef>
          </c:tx>
          <c:invertIfNegative val="0"/>
          <c:cat>
            <c:strRef>
              <c:f>Pivots!$A$16:$A$21</c:f>
              <c:strCache>
                <c:ptCount val="6"/>
                <c:pt idx="0">
                  <c:v>Associate</c:v>
                </c:pt>
                <c:pt idx="1">
                  <c:v>Fellow</c:v>
                </c:pt>
                <c:pt idx="2">
                  <c:v>Grad Student</c:v>
                </c:pt>
                <c:pt idx="3">
                  <c:v>Member</c:v>
                </c:pt>
                <c:pt idx="4">
                  <c:v>Senior Member</c:v>
                </c:pt>
                <c:pt idx="5">
                  <c:v>Student</c:v>
                </c:pt>
              </c:strCache>
            </c:strRef>
          </c:cat>
          <c:val>
            <c:numRef>
              <c:f>Pivots!$B$16:$B$21</c:f>
              <c:numCache>
                <c:formatCode>General</c:formatCode>
                <c:ptCount val="6"/>
                <c:pt idx="0">
                  <c:v>28</c:v>
                </c:pt>
                <c:pt idx="1">
                  <c:v>22</c:v>
                </c:pt>
                <c:pt idx="2">
                  <c:v>31</c:v>
                </c:pt>
                <c:pt idx="3">
                  <c:v>34</c:v>
                </c:pt>
                <c:pt idx="4">
                  <c:v>18</c:v>
                </c:pt>
                <c:pt idx="5">
                  <c:v>17</c:v>
                </c:pt>
              </c:numCache>
            </c:numRef>
          </c:val>
        </c:ser>
        <c:dLbls>
          <c:showLegendKey val="0"/>
          <c:showVal val="0"/>
          <c:showCatName val="0"/>
          <c:showSerName val="0"/>
          <c:showPercent val="0"/>
          <c:showBubbleSize val="0"/>
        </c:dLbls>
        <c:gapWidth val="150"/>
        <c:axId val="601875200"/>
        <c:axId val="601877888"/>
      </c:barChart>
      <c:catAx>
        <c:axId val="601875200"/>
        <c:scaling>
          <c:orientation val="minMax"/>
        </c:scaling>
        <c:delete val="0"/>
        <c:axPos val="b"/>
        <c:majorTickMark val="out"/>
        <c:minorTickMark val="none"/>
        <c:tickLblPos val="nextTo"/>
        <c:crossAx val="601877888"/>
        <c:crosses val="autoZero"/>
        <c:auto val="1"/>
        <c:lblAlgn val="ctr"/>
        <c:lblOffset val="100"/>
        <c:noMultiLvlLbl val="0"/>
      </c:catAx>
      <c:valAx>
        <c:axId val="601877888"/>
        <c:scaling>
          <c:orientation val="minMax"/>
        </c:scaling>
        <c:delete val="0"/>
        <c:axPos val="l"/>
        <c:majorGridlines/>
        <c:numFmt formatCode="General" sourceLinked="1"/>
        <c:majorTickMark val="out"/>
        <c:minorTickMark val="none"/>
        <c:tickLblPos val="nextTo"/>
        <c:crossAx val="6018752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[IEEE Membership Roster Dashboard.xlsx]Pivots!Dues</c:name>
    <c:fmtId val="2"/>
  </c:pivotSource>
  <c:chart>
    <c:title>
      <c:tx>
        <c:rich>
          <a:bodyPr/>
          <a:lstStyle/>
          <a:p>
            <a:pPr>
              <a:defRPr/>
            </a:pPr>
            <a:r>
              <a:rPr lang="en-US" sz="1800" b="1" i="0" u="none" strike="noStrike" baseline="0">
                <a:effectLst/>
              </a:rPr>
              <a:t>Dues collected by section</a:t>
            </a:r>
            <a:endParaRPr lang="en-US"/>
          </a:p>
        </c:rich>
      </c:tx>
      <c:layout/>
      <c:overlay val="0"/>
    </c:title>
    <c:autoTitleDeleted val="0"/>
    <c:pivotFmts>
      <c:pivotFmt>
        <c:idx val="0"/>
        <c:marker>
          <c:symbol val="none"/>
        </c:marker>
      </c:pivotFmt>
      <c:pivotFmt>
        <c:idx val="1"/>
        <c:marker>
          <c:symbol val="none"/>
        </c:marker>
      </c:pivotFmt>
    </c:pivotFmts>
    <c:plotArea>
      <c:layout/>
      <c:barChart>
        <c:barDir val="col"/>
        <c:grouping val="stacked"/>
        <c:varyColors val="0"/>
        <c:ser>
          <c:idx val="0"/>
          <c:order val="0"/>
          <c:tx>
            <c:strRef>
              <c:f>Pivots!$B$27</c:f>
              <c:strCache>
                <c:ptCount val="1"/>
                <c:pt idx="0">
                  <c:v>Total</c:v>
                </c:pt>
              </c:strCache>
            </c:strRef>
          </c:tx>
          <c:invertIfNegative val="0"/>
          <c:cat>
            <c:strRef>
              <c:f>Pivots!$A$28:$A$35</c:f>
              <c:strCache>
                <c:ptCount val="8"/>
                <c:pt idx="0">
                  <c:v>Atbara</c:v>
                </c:pt>
                <c:pt idx="1">
                  <c:v>El Obeid</c:v>
                </c:pt>
                <c:pt idx="2">
                  <c:v>Kassala</c:v>
                </c:pt>
                <c:pt idx="3">
                  <c:v>Khartoum</c:v>
                </c:pt>
                <c:pt idx="4">
                  <c:v>Nyala</c:v>
                </c:pt>
                <c:pt idx="5">
                  <c:v>Omdurman</c:v>
                </c:pt>
                <c:pt idx="6">
                  <c:v>Port Sudan</c:v>
                </c:pt>
                <c:pt idx="7">
                  <c:v>Wad Madani</c:v>
                </c:pt>
              </c:strCache>
            </c:strRef>
          </c:cat>
          <c:val>
            <c:numRef>
              <c:f>Pivots!$B$28:$B$35</c:f>
              <c:numCache>
                <c:formatCode>General</c:formatCode>
                <c:ptCount val="8"/>
                <c:pt idx="0">
                  <c:v>775</c:v>
                </c:pt>
                <c:pt idx="1">
                  <c:v>305</c:v>
                </c:pt>
                <c:pt idx="2">
                  <c:v>980</c:v>
                </c:pt>
                <c:pt idx="3">
                  <c:v>530</c:v>
                </c:pt>
                <c:pt idx="4">
                  <c:v>1040</c:v>
                </c:pt>
                <c:pt idx="5">
                  <c:v>690</c:v>
                </c:pt>
                <c:pt idx="6">
                  <c:v>700</c:v>
                </c:pt>
                <c:pt idx="7">
                  <c:v>910</c:v>
                </c:pt>
              </c:numCache>
            </c:numRef>
          </c:val>
        </c:ser>
        <c:dLbls>
          <c:showLegendKey val="0"/>
          <c:showVal val="0"/>
          <c:showCatName val="0"/>
          <c:showSerName val="0"/>
          <c:showPercent val="0"/>
          <c:showBubbleSize val="0"/>
        </c:dLbls>
        <c:gapWidth val="150"/>
        <c:overlap val="100"/>
        <c:axId val="433548672"/>
        <c:axId val="441256960"/>
      </c:barChart>
      <c:catAx>
        <c:axId val="433548672"/>
        <c:scaling>
          <c:orientation val="minMax"/>
        </c:scaling>
        <c:delete val="0"/>
        <c:axPos val="b"/>
        <c:majorTickMark val="out"/>
        <c:minorTickMark val="none"/>
        <c:tickLblPos val="nextTo"/>
        <c:crossAx val="441256960"/>
        <c:crosses val="autoZero"/>
        <c:auto val="1"/>
        <c:lblAlgn val="ctr"/>
        <c:lblOffset val="100"/>
        <c:noMultiLvlLbl val="0"/>
      </c:catAx>
      <c:valAx>
        <c:axId val="441256960"/>
        <c:scaling>
          <c:orientation val="minMax"/>
        </c:scaling>
        <c:delete val="0"/>
        <c:axPos val="l"/>
        <c:majorGridlines/>
        <c:numFmt formatCode="General" sourceLinked="1"/>
        <c:majorTickMark val="out"/>
        <c:minorTickMark val="none"/>
        <c:tickLblPos val="nextTo"/>
        <c:crossAx val="4335486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[IEEE Membership Roster Dashboard.xlsx]Pivots!Status</c:name>
    <c:fmtId val="2"/>
  </c:pivotSource>
  <c:chart>
    <c:title>
      <c:tx>
        <c:rich>
          <a:bodyPr/>
          <a:lstStyle/>
          <a:p>
            <a:pPr>
              <a:defRPr/>
            </a:pPr>
            <a:r>
              <a:rPr lang="en-US" sz="1800" b="1" i="0" u="none" strike="noStrike" baseline="0">
                <a:effectLst/>
              </a:rPr>
              <a:t>Only 33% of members are active</a:t>
            </a:r>
            <a:endParaRPr lang="en-US"/>
          </a:p>
        </c:rich>
      </c:tx>
      <c:layout/>
      <c:overlay val="0"/>
    </c:title>
    <c:autoTitleDeleted val="0"/>
    <c:pivotFmts>
      <c:pivotFmt>
        <c:idx val="0"/>
        <c:marker>
          <c:symbol val="none"/>
        </c:marker>
      </c:pivotFmt>
      <c:pivotFmt>
        <c:idx val="1"/>
        <c:marker>
          <c:symbol val="none"/>
        </c:marker>
      </c:pivotFmt>
    </c:pivotFmts>
    <c:plotArea>
      <c:layout/>
      <c:doughnutChart>
        <c:varyColors val="1"/>
        <c:ser>
          <c:idx val="0"/>
          <c:order val="0"/>
          <c:tx>
            <c:strRef>
              <c:f>Pivots!$B$39</c:f>
              <c:strCache>
                <c:ptCount val="1"/>
                <c:pt idx="0">
                  <c:v>Total</c:v>
                </c:pt>
              </c:strCache>
            </c:strRef>
          </c:tx>
          <c:cat>
            <c:strRef>
              <c:f>Pivots!$A$40:$A$41</c:f>
              <c:strCache>
                <c:ptCount val="2"/>
                <c:pt idx="0">
                  <c:v>Active</c:v>
                </c:pt>
                <c:pt idx="1">
                  <c:v>Lapsed</c:v>
                </c:pt>
              </c:strCache>
            </c:strRef>
          </c:cat>
          <c:val>
            <c:numRef>
              <c:f>Pivots!$B$40:$B$41</c:f>
              <c:numCache>
                <c:formatCode>General</c:formatCode>
                <c:ptCount val="2"/>
                <c:pt idx="0">
                  <c:v>49</c:v>
                </c:pt>
                <c:pt idx="1">
                  <c:v>101</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250705</xdr:colOff>
      <xdr:row>1</xdr:row>
      <xdr:rowOff>35045</xdr:rowOff>
    </xdr:from>
    <xdr:to>
      <xdr:col>13</xdr:col>
      <xdr:colOff>250705</xdr:colOff>
      <xdr:row>13</xdr:row>
      <xdr:rowOff>43492</xdr:rowOff>
    </xdr:to>
    <mc:AlternateContent xmlns:mc="http://schemas.openxmlformats.org/markup-compatibility/2006">
      <mc:Choice xmlns:a14="http://schemas.microsoft.com/office/drawing/2010/main" Requires="a14">
        <xdr:graphicFrame macro="">
          <xdr:nvGraphicFramePr>
            <xdr:cNvPr id="2" name="Section"/>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dr:sp macro="" textlink="">
          <xdr:nvSpPr>
            <xdr:cNvPr id="0" name=""/>
            <xdr:cNvSpPr>
              <a:spLocks noTextEdit="1"/>
            </xdr:cNvSpPr>
          </xdr:nvSpPr>
          <xdr:spPr>
            <a:xfrm>
              <a:off x="9445505" y="225545"/>
              <a:ext cx="1828800" cy="251034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249627</xdr:colOff>
      <xdr:row>14</xdr:row>
      <xdr:rowOff>190320</xdr:rowOff>
    </xdr:from>
    <xdr:to>
      <xdr:col>13</xdr:col>
      <xdr:colOff>249627</xdr:colOff>
      <xdr:row>28</xdr:row>
      <xdr:rowOff>40257</xdr:rowOff>
    </xdr:to>
    <mc:AlternateContent xmlns:mc="http://schemas.openxmlformats.org/markup-compatibility/2006">
      <mc:Choice xmlns:a14="http://schemas.microsoft.com/office/drawing/2010/main" Requires="a14">
        <xdr:graphicFrame macro="">
          <xdr:nvGraphicFramePr>
            <xdr:cNvPr id="3" name="Grade"/>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9444427" y="3073220"/>
              <a:ext cx="1828800" cy="251693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37022</xdr:colOff>
      <xdr:row>4</xdr:row>
      <xdr:rowOff>166058</xdr:rowOff>
    </xdr:from>
    <xdr:to>
      <xdr:col>3</xdr:col>
      <xdr:colOff>198947</xdr:colOff>
      <xdr:row>18</xdr:row>
      <xdr:rowOff>6469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39952</xdr:colOff>
      <xdr:row>18</xdr:row>
      <xdr:rowOff>125907</xdr:rowOff>
    </xdr:from>
    <xdr:to>
      <xdr:col>3</xdr:col>
      <xdr:colOff>215660</xdr:colOff>
      <xdr:row>31</xdr:row>
      <xdr:rowOff>107831</xdr:rowOff>
    </xdr:to>
    <xdr:graphicFrame macro="">
      <xdr:nvGraphicFramePr>
        <xdr:cNvPr id="5"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298961</xdr:colOff>
      <xdr:row>4</xdr:row>
      <xdr:rowOff>155500</xdr:rowOff>
    </xdr:from>
    <xdr:to>
      <xdr:col>9</xdr:col>
      <xdr:colOff>89859</xdr:colOff>
      <xdr:row>18</xdr:row>
      <xdr:rowOff>0</xdr:rowOff>
    </xdr:to>
    <xdr:graphicFrame macro="">
      <xdr:nvGraphicFramePr>
        <xdr:cNvPr id="6"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287548</xdr:colOff>
      <xdr:row>18</xdr:row>
      <xdr:rowOff>143772</xdr:rowOff>
    </xdr:from>
    <xdr:to>
      <xdr:col>9</xdr:col>
      <xdr:colOff>112059</xdr:colOff>
      <xdr:row>31</xdr:row>
      <xdr:rowOff>112057</xdr:rowOff>
    </xdr:to>
    <xdr:graphicFrame macro="">
      <xdr:nvGraphicFramePr>
        <xdr:cNvPr id="7"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1232647</xdr:colOff>
      <xdr:row>33</xdr:row>
      <xdr:rowOff>93381</xdr:rowOff>
    </xdr:from>
    <xdr:ext cx="3044265" cy="749821"/>
    <xdr:sp macro="" textlink="">
      <xdr:nvSpPr>
        <xdr:cNvPr id="8" name="TextBox 7"/>
        <xdr:cNvSpPr txBox="1"/>
      </xdr:nvSpPr>
      <xdr:spPr>
        <a:xfrm>
          <a:off x="2612371" y="6557774"/>
          <a:ext cx="3044265" cy="749821"/>
        </a:xfrm>
        <a:prstGeom prst="rect">
          <a:avLst/>
        </a:prstGeom>
        <a:noFill/>
        <a:ln w="571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1">
              <a:solidFill>
                <a:schemeClr val="tx1"/>
              </a:solidFill>
              <a:effectLst/>
              <a:latin typeface="+mn-lt"/>
              <a:ea typeface="+mn-ea"/>
              <a:cs typeface="+mn-cs"/>
            </a:rPr>
            <a:t>Only 33% of members are active; Student/Grad members are 32% of the roster but 12% of collected dues</a:t>
          </a:r>
          <a:endParaRPr lang="en-US" sz="14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uestt" refreshedDate="46298.721988773148" createdVersion="4" refreshedVersion="4" minRefreshableVersion="3" recordCount="150">
  <cacheSource type="worksheet">
    <worksheetSource name="Members"/>
  </cacheSource>
  <cacheFields count="13">
    <cacheField name="Member ID" numFmtId="0">
      <sharedItems/>
    </cacheField>
    <cacheField name="First Name" numFmtId="0">
      <sharedItems/>
    </cacheField>
    <cacheField name="Last Name" numFmtId="0">
      <sharedItems/>
    </cacheField>
    <cacheField name="Grade" numFmtId="0">
      <sharedItems count="6">
        <s v="Member"/>
        <s v="Fellow"/>
        <s v="Grad Student"/>
        <s v="Senior Member"/>
        <s v="Student"/>
        <s v="Associate"/>
      </sharedItems>
    </cacheField>
    <cacheField name="Section" numFmtId="0">
      <sharedItems count="8">
        <s v="Port Sudan"/>
        <s v="El Obeid"/>
        <s v="Atbara"/>
        <s v="Wad Madani"/>
        <s v="Nyala"/>
        <s v="Omdurman"/>
        <s v="Khartoum"/>
        <s v="Kassala"/>
      </sharedItems>
    </cacheField>
    <cacheField name="Join Date" numFmtId="14">
      <sharedItems containsSemiMixedTypes="0" containsNonDate="0" containsDate="1" containsString="0" minDate="2016-01-08T00:00:00" maxDate="2025-12-25T00:00:00" count="149">
        <d v="2018-09-27T00:00:00"/>
        <d v="2020-02-15T00:00:00"/>
        <d v="2019-07-16T00:00:00"/>
        <d v="2019-03-02T00:00:00"/>
        <d v="2025-01-04T00:00:00"/>
        <d v="2023-02-04T00:00:00"/>
        <d v="2023-03-28T00:00:00"/>
        <d v="2017-04-17T00:00:00"/>
        <d v="2019-11-10T00:00:00"/>
        <d v="2022-01-15T00:00:00"/>
        <d v="2019-12-01T00:00:00"/>
        <d v="2019-11-16T00:00:00"/>
        <d v="2019-12-16T00:00:00"/>
        <d v="2019-05-10T00:00:00"/>
        <d v="2016-09-18T00:00:00"/>
        <d v="2016-07-05T00:00:00"/>
        <d v="2023-12-06T00:00:00"/>
        <d v="2022-03-26T00:00:00"/>
        <d v="2016-05-23T00:00:00"/>
        <d v="2021-08-15T00:00:00"/>
        <d v="2017-04-24T00:00:00"/>
        <d v="2019-09-23T00:00:00"/>
        <d v="2022-12-23T00:00:00"/>
        <d v="2025-02-08T00:00:00"/>
        <d v="2025-02-24T00:00:00"/>
        <d v="2017-02-22T00:00:00"/>
        <d v="2018-08-06T00:00:00"/>
        <d v="2020-07-27T00:00:00"/>
        <d v="2023-05-27T00:00:00"/>
        <d v="2021-12-10T00:00:00"/>
        <d v="2018-04-05T00:00:00"/>
        <d v="2016-01-08T00:00:00"/>
        <d v="2025-04-04T00:00:00"/>
        <d v="2024-11-15T00:00:00"/>
        <d v="2025-01-08T00:00:00"/>
        <d v="2019-08-11T00:00:00"/>
        <d v="2016-12-05T00:00:00"/>
        <d v="2023-07-08T00:00:00"/>
        <d v="2022-06-03T00:00:00"/>
        <d v="2016-09-13T00:00:00"/>
        <d v="2019-07-25T00:00:00"/>
        <d v="2017-02-01T00:00:00"/>
        <d v="2025-03-16T00:00:00"/>
        <d v="2021-05-11T00:00:00"/>
        <d v="2016-12-06T00:00:00"/>
        <d v="2023-09-21T00:00:00"/>
        <d v="2020-04-10T00:00:00"/>
        <d v="2024-11-27T00:00:00"/>
        <d v="2016-02-05T00:00:00"/>
        <d v="2025-12-19T00:00:00"/>
        <d v="2021-08-23T00:00:00"/>
        <d v="2024-09-10T00:00:00"/>
        <d v="2018-03-13T00:00:00"/>
        <d v="2025-04-11T00:00:00"/>
        <d v="2024-11-13T00:00:00"/>
        <d v="2020-01-14T00:00:00"/>
        <d v="2022-06-25T00:00:00"/>
        <d v="2023-11-03T00:00:00"/>
        <d v="2022-08-11T00:00:00"/>
        <d v="2025-05-10T00:00:00"/>
        <d v="2023-06-10T00:00:00"/>
        <d v="2021-07-25T00:00:00"/>
        <d v="2022-04-28T00:00:00"/>
        <d v="2022-01-26T00:00:00"/>
        <d v="2019-09-03T00:00:00"/>
        <d v="2023-12-02T00:00:00"/>
        <d v="2018-08-12T00:00:00"/>
        <d v="2020-05-21T00:00:00"/>
        <d v="2020-06-18T00:00:00"/>
        <d v="2024-12-09T00:00:00"/>
        <d v="2024-09-23T00:00:00"/>
        <d v="2016-11-18T00:00:00"/>
        <d v="2024-02-28T00:00:00"/>
        <d v="2017-02-13T00:00:00"/>
        <d v="2022-09-06T00:00:00"/>
        <d v="2017-05-16T00:00:00"/>
        <d v="2024-07-25T00:00:00"/>
        <d v="2023-07-05T00:00:00"/>
        <d v="2025-05-16T00:00:00"/>
        <d v="2024-04-04T00:00:00"/>
        <d v="2019-01-16T00:00:00"/>
        <d v="2025-01-23T00:00:00"/>
        <d v="2021-08-14T00:00:00"/>
        <d v="2019-06-10T00:00:00"/>
        <d v="2017-10-05T00:00:00"/>
        <d v="2016-06-13T00:00:00"/>
        <d v="2021-08-21T00:00:00"/>
        <d v="2019-02-18T00:00:00"/>
        <d v="2019-07-04T00:00:00"/>
        <d v="2017-05-13T00:00:00"/>
        <d v="2021-09-07T00:00:00"/>
        <d v="2022-05-01T00:00:00"/>
        <d v="2023-07-06T00:00:00"/>
        <d v="2022-08-20T00:00:00"/>
        <d v="2022-04-07T00:00:00"/>
        <d v="2017-11-18T00:00:00"/>
        <d v="2016-04-26T00:00:00"/>
        <d v="2021-05-28T00:00:00"/>
        <d v="2023-12-08T00:00:00"/>
        <d v="2025-01-11T00:00:00"/>
        <d v="2019-02-20T00:00:00"/>
        <d v="2024-07-07T00:00:00"/>
        <d v="2016-07-24T00:00:00"/>
        <d v="2019-09-20T00:00:00"/>
        <d v="2020-02-08T00:00:00"/>
        <d v="2018-04-16T00:00:00"/>
        <d v="2016-07-13T00:00:00"/>
        <d v="2025-12-24T00:00:00"/>
        <d v="2022-11-01T00:00:00"/>
        <d v="2017-01-23T00:00:00"/>
        <d v="2024-09-26T00:00:00"/>
        <d v="2020-01-25T00:00:00"/>
        <d v="2024-05-19T00:00:00"/>
        <d v="2024-04-12T00:00:00"/>
        <d v="2024-06-17T00:00:00"/>
        <d v="2020-04-17T00:00:00"/>
        <d v="2017-08-27T00:00:00"/>
        <d v="2022-07-08T00:00:00"/>
        <d v="2020-03-17T00:00:00"/>
        <d v="2024-12-17T00:00:00"/>
        <d v="2023-05-24T00:00:00"/>
        <d v="2021-05-06T00:00:00"/>
        <d v="2016-01-27T00:00:00"/>
        <d v="2025-11-22T00:00:00"/>
        <d v="2019-04-06T00:00:00"/>
        <d v="2016-02-25T00:00:00"/>
        <d v="2016-08-20T00:00:00"/>
        <d v="2020-07-06T00:00:00"/>
        <d v="2023-04-26T00:00:00"/>
        <d v="2025-10-11T00:00:00"/>
        <d v="2022-02-04T00:00:00"/>
        <d v="2016-10-16T00:00:00"/>
        <d v="2024-08-09T00:00:00"/>
        <d v="2020-10-09T00:00:00"/>
        <d v="2019-04-23T00:00:00"/>
        <d v="2025-01-27T00:00:00"/>
        <d v="2024-10-03T00:00:00"/>
        <d v="2017-09-09T00:00:00"/>
        <d v="2016-05-15T00:00:00"/>
        <d v="2020-06-05T00:00:00"/>
        <d v="2017-08-21T00:00:00"/>
        <d v="2018-04-06T00:00:00"/>
        <d v="2019-12-10T00:00:00"/>
        <d v="2025-02-25T00:00:00"/>
        <d v="2024-11-12T00:00:00"/>
        <d v="2019-10-21T00:00:00"/>
        <d v="2021-03-13T00:00:00"/>
        <d v="2024-01-09T00:00:00"/>
        <d v="2025-01-10T00:00:00"/>
      </sharedItems>
      <fieldGroup par="12" base="5">
        <rangePr groupBy="months" startDate="2016-01-08T00:00:00" endDate="2025-12-25T00:00:00"/>
        <groupItems count="14">
          <s v="&lt;08/01/2016"/>
          <s v="Jan"/>
          <s v="Feb"/>
          <s v="Mar"/>
          <s v="Apr"/>
          <s v="May"/>
          <s v="Jun"/>
          <s v="Jul"/>
          <s v="Aug"/>
          <s v="Sep"/>
          <s v="Oct"/>
          <s v="Nov"/>
          <s v="Dec"/>
          <s v="&gt;25/12/2025"/>
        </groupItems>
      </fieldGroup>
    </cacheField>
    <cacheField name="Dues Status" numFmtId="0">
      <sharedItems count="3">
        <s v="Paid"/>
        <s v="Waived"/>
        <s v="Unpaid"/>
      </sharedItems>
    </cacheField>
    <cacheField name="Dues Amount" numFmtId="0">
      <sharedItems containsSemiMixedTypes="0" containsString="0" containsNumber="1" containsInteger="1" minValue="0" maxValue="100"/>
    </cacheField>
    <cacheField name="Events Attended" numFmtId="0">
      <sharedItems containsSemiMixedTypes="0" containsString="0" containsNumber="1" containsInteger="1" minValue="0" maxValue="12"/>
    </cacheField>
    <cacheField name="Last Activity" numFmtId="14">
      <sharedItems containsSemiMixedTypes="0" containsNonDate="0" containsDate="1" containsString="0" minDate="2016-05-31T00:00:00" maxDate="2026-10-04T00:00:00"/>
    </cacheField>
    <cacheField name="Membership Status" numFmtId="0">
      <sharedItems count="2">
        <s v="Lapsed"/>
        <s v="Active"/>
      </sharedItems>
    </cacheField>
    <cacheField name="Email" numFmtId="0">
      <sharedItems/>
    </cacheField>
    <cacheField name="Years" numFmtId="0" databaseField="0">
      <fieldGroup base="5">
        <rangePr groupBy="years" startDate="2016-01-08T00:00:00" endDate="2025-12-25T00:00:00"/>
        <groupItems count="12">
          <s v="&lt;08/01/2016"/>
          <s v="2016"/>
          <s v="2017"/>
          <s v="2018"/>
          <s v="2019"/>
          <s v="2020"/>
          <s v="2021"/>
          <s v="2022"/>
          <s v="2023"/>
          <s v="2024"/>
          <s v="2025"/>
          <s v="&gt;25/1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s v="SUD-0001"/>
    <s v="Nour"/>
    <s v="Idris"/>
    <x v="0"/>
    <x v="0"/>
    <x v="0"/>
    <x v="0"/>
    <n v="60"/>
    <n v="5"/>
    <d v="2024-01-18T00:00:00"/>
    <x v="0"/>
    <s v="nour.idris@example.org"/>
  </r>
  <r>
    <s v="SUD-0002"/>
    <s v="Omar"/>
    <s v="Salih"/>
    <x v="1"/>
    <x v="1"/>
    <x v="1"/>
    <x v="1"/>
    <n v="0"/>
    <n v="4"/>
    <d v="2023-10-04T00:00:00"/>
    <x v="0"/>
    <s v="omar.salih@example.org"/>
  </r>
  <r>
    <s v="SUD-0003"/>
    <s v="Layla"/>
    <s v="Siddig"/>
    <x v="2"/>
    <x v="2"/>
    <x v="2"/>
    <x v="0"/>
    <n v="20"/>
    <n v="10"/>
    <d v="2021-07-23T00:00:00"/>
    <x v="0"/>
    <s v="layla.siddig@example.org"/>
  </r>
  <r>
    <s v="SUD-0004"/>
    <s v="Mohamed"/>
    <s v="Idris"/>
    <x v="0"/>
    <x v="3"/>
    <x v="3"/>
    <x v="2"/>
    <n v="60"/>
    <n v="3"/>
    <d v="2022-08-09T00:00:00"/>
    <x v="0"/>
    <s v="mohamed.idris@example.org"/>
  </r>
  <r>
    <s v="SUD-0005"/>
    <s v="Fatima"/>
    <s v="Osman"/>
    <x v="2"/>
    <x v="1"/>
    <x v="4"/>
    <x v="1"/>
    <n v="0"/>
    <n v="9"/>
    <d v="2026-06-04T00:00:00"/>
    <x v="1"/>
    <s v="fatima.osman@example.org"/>
  </r>
  <r>
    <s v="SUD-0006"/>
    <s v="Mariam"/>
    <s v="Musa"/>
    <x v="1"/>
    <x v="4"/>
    <x v="5"/>
    <x v="0"/>
    <n v="100"/>
    <n v="12"/>
    <d v="2025-03-27T00:00:00"/>
    <x v="0"/>
    <s v="mariam.musa@example.org"/>
  </r>
  <r>
    <s v="SUD-0007"/>
    <s v="Sara"/>
    <s v="Abdalla"/>
    <x v="2"/>
    <x v="5"/>
    <x v="6"/>
    <x v="0"/>
    <n v="20"/>
    <n v="7"/>
    <d v="2023-07-24T00:00:00"/>
    <x v="0"/>
    <s v="sara.abdalla@example.org"/>
  </r>
  <r>
    <s v="SUD-0008"/>
    <s v="Khalid"/>
    <s v="Salih"/>
    <x v="3"/>
    <x v="3"/>
    <x v="7"/>
    <x v="2"/>
    <n v="80"/>
    <n v="7"/>
    <d v="2021-02-16T00:00:00"/>
    <x v="0"/>
    <s v="khalid.salih@example.org"/>
  </r>
  <r>
    <s v="SUD-0009"/>
    <s v="Omar"/>
    <s v="Fadl"/>
    <x v="3"/>
    <x v="5"/>
    <x v="8"/>
    <x v="0"/>
    <n v="80"/>
    <n v="11"/>
    <d v="2020-09-26T00:00:00"/>
    <x v="0"/>
    <s v="omar.fadl@example.org"/>
  </r>
  <r>
    <s v="SUD-0010"/>
    <s v="Nour"/>
    <s v="Salih"/>
    <x v="2"/>
    <x v="6"/>
    <x v="9"/>
    <x v="0"/>
    <n v="20"/>
    <n v="11"/>
    <d v="2024-07-08T00:00:00"/>
    <x v="0"/>
    <s v="nour.salih@example.org"/>
  </r>
  <r>
    <s v="SUD-0011"/>
    <s v="Sara"/>
    <s v="Osman"/>
    <x v="1"/>
    <x v="5"/>
    <x v="10"/>
    <x v="0"/>
    <n v="100"/>
    <n v="8"/>
    <d v="2021-11-02T00:00:00"/>
    <x v="0"/>
    <s v="sara.osman@example.org"/>
  </r>
  <r>
    <s v="SUD-0012"/>
    <s v="Ibrahim"/>
    <s v="Karrar"/>
    <x v="3"/>
    <x v="2"/>
    <x v="11"/>
    <x v="0"/>
    <n v="80"/>
    <n v="1"/>
    <d v="2021-09-01T00:00:00"/>
    <x v="0"/>
    <s v="ibrahim.karrar@example.org"/>
  </r>
  <r>
    <s v="SUD-0013"/>
    <s v="Hassan"/>
    <s v="Salih"/>
    <x v="1"/>
    <x v="5"/>
    <x v="12"/>
    <x v="1"/>
    <n v="0"/>
    <n v="7"/>
    <d v="2020-03-19T00:00:00"/>
    <x v="0"/>
    <s v="hassan.salih@example.org"/>
  </r>
  <r>
    <s v="SUD-0014"/>
    <s v="Tarig"/>
    <s v="Siddig"/>
    <x v="4"/>
    <x v="6"/>
    <x v="13"/>
    <x v="0"/>
    <n v="15"/>
    <n v="5"/>
    <d v="2023-03-24T00:00:00"/>
    <x v="0"/>
    <s v="tarig.siddig@example.org"/>
  </r>
  <r>
    <s v="SUD-0015"/>
    <s v="Layla"/>
    <s v="Abdalla"/>
    <x v="2"/>
    <x v="4"/>
    <x v="14"/>
    <x v="2"/>
    <n v="20"/>
    <n v="8"/>
    <d v="2019-07-25T00:00:00"/>
    <x v="0"/>
    <s v="layla.abdalla@example.org"/>
  </r>
  <r>
    <s v="SUD-0016"/>
    <s v="Hassan"/>
    <s v="Karrar"/>
    <x v="3"/>
    <x v="5"/>
    <x v="15"/>
    <x v="0"/>
    <n v="80"/>
    <n v="2"/>
    <d v="2018-02-25T00:00:00"/>
    <x v="0"/>
    <s v="hassan.karrar@example.org"/>
  </r>
  <r>
    <s v="SUD-0017"/>
    <s v="Khalid"/>
    <s v="Fadl"/>
    <x v="1"/>
    <x v="0"/>
    <x v="16"/>
    <x v="0"/>
    <n v="100"/>
    <n v="0"/>
    <d v="2026-10-03T00:00:00"/>
    <x v="1"/>
    <s v="khalid.fadl@example.org"/>
  </r>
  <r>
    <s v="SUD-0018"/>
    <s v="Mohamed"/>
    <s v="Karrar"/>
    <x v="0"/>
    <x v="7"/>
    <x v="17"/>
    <x v="0"/>
    <n v="60"/>
    <n v="4"/>
    <d v="2023-04-05T00:00:00"/>
    <x v="0"/>
    <s v="mohamed.karrar@example.org"/>
  </r>
  <r>
    <s v="SUD-0019"/>
    <s v="Hassan"/>
    <s v="Idris"/>
    <x v="0"/>
    <x v="3"/>
    <x v="18"/>
    <x v="0"/>
    <n v="60"/>
    <n v="0"/>
    <d v="2017-12-24T00:00:00"/>
    <x v="0"/>
    <s v="hassan.idris@example.org"/>
  </r>
  <r>
    <s v="SUD-0020"/>
    <s v="Tarig"/>
    <s v="Hamad"/>
    <x v="3"/>
    <x v="5"/>
    <x v="19"/>
    <x v="1"/>
    <n v="0"/>
    <n v="3"/>
    <d v="2024-03-14T00:00:00"/>
    <x v="0"/>
    <s v="tarig.hamad@example.org"/>
  </r>
  <r>
    <s v="SUD-0021"/>
    <s v="Nour"/>
    <s v="Salih"/>
    <x v="0"/>
    <x v="3"/>
    <x v="20"/>
    <x v="0"/>
    <n v="60"/>
    <n v="0"/>
    <d v="2022-01-22T00:00:00"/>
    <x v="0"/>
    <s v="nour.salih@example.org"/>
  </r>
  <r>
    <s v="SUD-0022"/>
    <s v="Layla"/>
    <s v="Fadl"/>
    <x v="0"/>
    <x v="3"/>
    <x v="21"/>
    <x v="2"/>
    <n v="60"/>
    <n v="9"/>
    <d v="2021-10-03T00:00:00"/>
    <x v="0"/>
    <s v="layla.fadl@example.org"/>
  </r>
  <r>
    <s v="SUD-0023"/>
    <s v="Khalid"/>
    <s v="Salih"/>
    <x v="5"/>
    <x v="6"/>
    <x v="22"/>
    <x v="0"/>
    <n v="40"/>
    <n v="6"/>
    <d v="2026-05-31T00:00:00"/>
    <x v="1"/>
    <s v="khalid.salih@example.org"/>
  </r>
  <r>
    <s v="SUD-0024"/>
    <s v="Fatima"/>
    <s v="Nour"/>
    <x v="1"/>
    <x v="3"/>
    <x v="23"/>
    <x v="0"/>
    <n v="100"/>
    <n v="6"/>
    <d v="2026-10-03T00:00:00"/>
    <x v="1"/>
    <s v="fatima.nour@example.org"/>
  </r>
  <r>
    <s v="SUD-0025"/>
    <s v="Rania"/>
    <s v="Elamin"/>
    <x v="5"/>
    <x v="6"/>
    <x v="24"/>
    <x v="0"/>
    <n v="40"/>
    <n v="9"/>
    <d v="2026-10-03T00:00:00"/>
    <x v="1"/>
    <s v="rania.elamin@example.org"/>
  </r>
  <r>
    <s v="SUD-0026"/>
    <s v="Tarig"/>
    <s v="Idris"/>
    <x v="1"/>
    <x v="0"/>
    <x v="25"/>
    <x v="2"/>
    <n v="100"/>
    <n v="5"/>
    <d v="2019-01-07T00:00:00"/>
    <x v="0"/>
    <s v="tarig.idris@example.org"/>
  </r>
  <r>
    <s v="SUD-0027"/>
    <s v="Mohamed"/>
    <s v="Abdalla"/>
    <x v="3"/>
    <x v="7"/>
    <x v="26"/>
    <x v="0"/>
    <n v="80"/>
    <n v="1"/>
    <d v="2023-01-01T00:00:00"/>
    <x v="0"/>
    <s v="mohamed.abdalla@example.org"/>
  </r>
  <r>
    <s v="SUD-0028"/>
    <s v="Yousef"/>
    <s v="Ali"/>
    <x v="0"/>
    <x v="6"/>
    <x v="27"/>
    <x v="0"/>
    <n v="60"/>
    <n v="11"/>
    <d v="2022-02-13T00:00:00"/>
    <x v="0"/>
    <s v="yousef.ali@example.org"/>
  </r>
  <r>
    <s v="SUD-0029"/>
    <s v="Aisha"/>
    <s v="Hamad"/>
    <x v="3"/>
    <x v="0"/>
    <x v="28"/>
    <x v="0"/>
    <n v="80"/>
    <n v="6"/>
    <d v="2023-07-28T00:00:00"/>
    <x v="0"/>
    <s v="aisha.hamad@example.org"/>
  </r>
  <r>
    <s v="SUD-0030"/>
    <s v="Tarig"/>
    <s v="Nour"/>
    <x v="2"/>
    <x v="3"/>
    <x v="29"/>
    <x v="0"/>
    <n v="20"/>
    <n v="5"/>
    <d v="2024-05-31T00:00:00"/>
    <x v="0"/>
    <s v="tarig.nour@example.org"/>
  </r>
  <r>
    <s v="SUD-0031"/>
    <s v="Aisha"/>
    <s v="Idris"/>
    <x v="2"/>
    <x v="2"/>
    <x v="30"/>
    <x v="0"/>
    <n v="20"/>
    <n v="10"/>
    <d v="2021-05-20T00:00:00"/>
    <x v="0"/>
    <s v="aisha.idris@example.org"/>
  </r>
  <r>
    <s v="SUD-0032"/>
    <s v="Aisha"/>
    <s v="Elamin"/>
    <x v="1"/>
    <x v="3"/>
    <x v="31"/>
    <x v="0"/>
    <n v="100"/>
    <n v="8"/>
    <d v="2016-10-22T00:00:00"/>
    <x v="0"/>
    <s v="aisha.elamin@example.org"/>
  </r>
  <r>
    <s v="SUD-0033"/>
    <s v="Rania"/>
    <s v="Elamin"/>
    <x v="3"/>
    <x v="3"/>
    <x v="32"/>
    <x v="0"/>
    <n v="80"/>
    <n v="12"/>
    <d v="2026-08-02T00:00:00"/>
    <x v="1"/>
    <s v="rania.elamin@example.org"/>
  </r>
  <r>
    <s v="SUD-0034"/>
    <s v="Mariam"/>
    <s v="Adam"/>
    <x v="2"/>
    <x v="0"/>
    <x v="33"/>
    <x v="0"/>
    <n v="20"/>
    <n v="0"/>
    <d v="2026-10-03T00:00:00"/>
    <x v="1"/>
    <s v="mariam.adam@example.org"/>
  </r>
  <r>
    <s v="SUD-0035"/>
    <s v="Tarig"/>
    <s v="Abdalla"/>
    <x v="0"/>
    <x v="4"/>
    <x v="34"/>
    <x v="0"/>
    <n v="60"/>
    <n v="3"/>
    <d v="2026-07-15T00:00:00"/>
    <x v="1"/>
    <s v="tarig.abdalla@example.org"/>
  </r>
  <r>
    <s v="SUD-0036"/>
    <s v="Mohamed"/>
    <s v="Idris"/>
    <x v="5"/>
    <x v="6"/>
    <x v="35"/>
    <x v="0"/>
    <n v="40"/>
    <n v="11"/>
    <d v="2024-03-14T00:00:00"/>
    <x v="0"/>
    <s v="mohamed.idris@example.org"/>
  </r>
  <r>
    <s v="SUD-0037"/>
    <s v="Yousef"/>
    <s v="Siddig"/>
    <x v="0"/>
    <x v="5"/>
    <x v="36"/>
    <x v="1"/>
    <n v="0"/>
    <n v="7"/>
    <d v="2020-08-05T00:00:00"/>
    <x v="0"/>
    <s v="yousef.siddig@example.org"/>
  </r>
  <r>
    <s v="SUD-0038"/>
    <s v="Mariam"/>
    <s v="Abdalla"/>
    <x v="3"/>
    <x v="2"/>
    <x v="37"/>
    <x v="0"/>
    <n v="80"/>
    <n v="9"/>
    <d v="2025-12-04T00:00:00"/>
    <x v="1"/>
    <s v="mariam.abdalla@example.org"/>
  </r>
  <r>
    <s v="SUD-0039"/>
    <s v="Tarig"/>
    <s v="Idris"/>
    <x v="0"/>
    <x v="1"/>
    <x v="38"/>
    <x v="0"/>
    <n v="60"/>
    <n v="11"/>
    <d v="2024-08-27T00:00:00"/>
    <x v="0"/>
    <s v="tarig.idris@example.org"/>
  </r>
  <r>
    <s v="SUD-0040"/>
    <s v="Ibrahim"/>
    <s v="Musa"/>
    <x v="2"/>
    <x v="3"/>
    <x v="39"/>
    <x v="1"/>
    <n v="0"/>
    <n v="12"/>
    <d v="2017-11-15T00:00:00"/>
    <x v="0"/>
    <s v="ibrahim.musa@example.org"/>
  </r>
  <r>
    <s v="SUD-0041"/>
    <s v="Ahmed"/>
    <s v="Bashir"/>
    <x v="1"/>
    <x v="2"/>
    <x v="40"/>
    <x v="0"/>
    <n v="100"/>
    <n v="2"/>
    <d v="2022-04-22T00:00:00"/>
    <x v="0"/>
    <s v="ahmed.bashir@example.org"/>
  </r>
  <r>
    <s v="SUD-0042"/>
    <s v="Ahmed"/>
    <s v="Nour"/>
    <x v="4"/>
    <x v="1"/>
    <x v="41"/>
    <x v="0"/>
    <n v="15"/>
    <n v="4"/>
    <d v="2021-06-26T00:00:00"/>
    <x v="0"/>
    <s v="ahmed.nour@example.org"/>
  </r>
  <r>
    <s v="SUD-0043"/>
    <s v="Fatima"/>
    <s v="Adam"/>
    <x v="2"/>
    <x v="7"/>
    <x v="42"/>
    <x v="0"/>
    <n v="20"/>
    <n v="10"/>
    <d v="2026-10-03T00:00:00"/>
    <x v="1"/>
    <s v="fatima.adam@example.org"/>
  </r>
  <r>
    <s v="SUD-0044"/>
    <s v="Fatima"/>
    <s v="Adam"/>
    <x v="2"/>
    <x v="7"/>
    <x v="43"/>
    <x v="0"/>
    <n v="20"/>
    <n v="3"/>
    <d v="2023-06-07T00:00:00"/>
    <x v="0"/>
    <s v="fatima.adam@example.org"/>
  </r>
  <r>
    <s v="SUD-0045"/>
    <s v="Ibrahim"/>
    <s v="Musa"/>
    <x v="0"/>
    <x v="4"/>
    <x v="44"/>
    <x v="0"/>
    <n v="60"/>
    <n v="4"/>
    <d v="2019-05-06T00:00:00"/>
    <x v="0"/>
    <s v="ibrahim.musa@example.org"/>
  </r>
  <r>
    <s v="SUD-0046"/>
    <s v="Khalid"/>
    <s v="Fadl"/>
    <x v="2"/>
    <x v="3"/>
    <x v="45"/>
    <x v="0"/>
    <n v="20"/>
    <n v="9"/>
    <d v="2026-10-03T00:00:00"/>
    <x v="1"/>
    <s v="khalid.fadl@example.org"/>
  </r>
  <r>
    <s v="SUD-0047"/>
    <s v="Mohamed"/>
    <s v="Elamin"/>
    <x v="2"/>
    <x v="0"/>
    <x v="46"/>
    <x v="0"/>
    <n v="20"/>
    <n v="1"/>
    <d v="2021-01-04T00:00:00"/>
    <x v="0"/>
    <s v="mohamed.elamin@example.org"/>
  </r>
  <r>
    <s v="SUD-0048"/>
    <s v="Fatima"/>
    <s v="Salih"/>
    <x v="5"/>
    <x v="3"/>
    <x v="47"/>
    <x v="0"/>
    <n v="40"/>
    <n v="0"/>
    <d v="2026-10-03T00:00:00"/>
    <x v="1"/>
    <s v="fatima.salih@example.org"/>
  </r>
  <r>
    <s v="SUD-0049"/>
    <s v="Hassan"/>
    <s v="Hamad"/>
    <x v="4"/>
    <x v="7"/>
    <x v="48"/>
    <x v="0"/>
    <n v="15"/>
    <n v="3"/>
    <d v="2016-05-31T00:00:00"/>
    <x v="0"/>
    <s v="hassan.hamad@example.org"/>
  </r>
  <r>
    <s v="SUD-0050"/>
    <s v="Hassan"/>
    <s v="Osman"/>
    <x v="5"/>
    <x v="7"/>
    <x v="49"/>
    <x v="0"/>
    <n v="40"/>
    <n v="2"/>
    <d v="2026-10-03T00:00:00"/>
    <x v="1"/>
    <s v="hassan.osman@example.org"/>
  </r>
  <r>
    <s v="SUD-0051"/>
    <s v="Aisha"/>
    <s v="Bashir"/>
    <x v="4"/>
    <x v="2"/>
    <x v="50"/>
    <x v="0"/>
    <n v="15"/>
    <n v="7"/>
    <d v="2025-07-15T00:00:00"/>
    <x v="0"/>
    <s v="aisha.bashir@example.org"/>
  </r>
  <r>
    <s v="SUD-0052"/>
    <s v="Sara"/>
    <s v="Hassan"/>
    <x v="0"/>
    <x v="1"/>
    <x v="51"/>
    <x v="0"/>
    <n v="60"/>
    <n v="5"/>
    <d v="2026-10-03T00:00:00"/>
    <x v="1"/>
    <s v="sara.hassan@example.org"/>
  </r>
  <r>
    <s v="SUD-0053"/>
    <s v="Nour"/>
    <s v="Idris"/>
    <x v="0"/>
    <x v="1"/>
    <x v="52"/>
    <x v="0"/>
    <n v="60"/>
    <n v="4"/>
    <d v="2019-12-25T00:00:00"/>
    <x v="0"/>
    <s v="nour.idris@example.org"/>
  </r>
  <r>
    <s v="SUD-0054"/>
    <s v="Fatima"/>
    <s v="Osman"/>
    <x v="3"/>
    <x v="7"/>
    <x v="53"/>
    <x v="2"/>
    <n v="80"/>
    <n v="12"/>
    <d v="2026-10-03T00:00:00"/>
    <x v="1"/>
    <s v="fatima.osman@example.org"/>
  </r>
  <r>
    <s v="SUD-0055"/>
    <s v="Ahmed"/>
    <s v="Karrar"/>
    <x v="1"/>
    <x v="7"/>
    <x v="54"/>
    <x v="0"/>
    <n v="100"/>
    <n v="11"/>
    <d v="2026-10-03T00:00:00"/>
    <x v="1"/>
    <s v="ahmed.karrar@example.org"/>
  </r>
  <r>
    <s v="SUD-0056"/>
    <s v="Khalid"/>
    <s v="Salih"/>
    <x v="2"/>
    <x v="6"/>
    <x v="55"/>
    <x v="1"/>
    <n v="0"/>
    <n v="3"/>
    <d v="2021-03-15T00:00:00"/>
    <x v="0"/>
    <s v="khalid.salih@example.org"/>
  </r>
  <r>
    <s v="SUD-0057"/>
    <s v="Ibrahim"/>
    <s v="Salih"/>
    <x v="1"/>
    <x v="5"/>
    <x v="56"/>
    <x v="0"/>
    <n v="100"/>
    <n v="8"/>
    <d v="2026-10-03T00:00:00"/>
    <x v="1"/>
    <s v="ibrahim.salih@example.org"/>
  </r>
  <r>
    <s v="SUD-0058"/>
    <s v="Ibrahim"/>
    <s v="Nour"/>
    <x v="5"/>
    <x v="0"/>
    <x v="57"/>
    <x v="0"/>
    <n v="40"/>
    <n v="2"/>
    <d v="2026-03-24T00:00:00"/>
    <x v="1"/>
    <s v="ibrahim.nour@example.org"/>
  </r>
  <r>
    <s v="SUD-0059"/>
    <s v="Hassan"/>
    <s v="Ali"/>
    <x v="4"/>
    <x v="2"/>
    <x v="58"/>
    <x v="2"/>
    <n v="15"/>
    <n v="12"/>
    <d v="2025-06-04T00:00:00"/>
    <x v="0"/>
    <s v="hassan.ali@example.org"/>
  </r>
  <r>
    <s v="SUD-0060"/>
    <s v="Layla"/>
    <s v="Adam"/>
    <x v="5"/>
    <x v="7"/>
    <x v="59"/>
    <x v="0"/>
    <n v="40"/>
    <n v="9"/>
    <d v="2026-10-03T00:00:00"/>
    <x v="1"/>
    <s v="layla.adam@example.org"/>
  </r>
  <r>
    <s v="SUD-0061"/>
    <s v="Ahmed"/>
    <s v="Nour"/>
    <x v="4"/>
    <x v="5"/>
    <x v="60"/>
    <x v="0"/>
    <n v="15"/>
    <n v="7"/>
    <d v="2025-12-24T00:00:00"/>
    <x v="1"/>
    <s v="ahmed.nour@example.org"/>
  </r>
  <r>
    <s v="SUD-0062"/>
    <s v="Mohamed"/>
    <s v="Hassan"/>
    <x v="0"/>
    <x v="4"/>
    <x v="61"/>
    <x v="0"/>
    <n v="60"/>
    <n v="11"/>
    <d v="2025-12-13T00:00:00"/>
    <x v="1"/>
    <s v="mohamed.hassan@example.org"/>
  </r>
  <r>
    <s v="SUD-0063"/>
    <s v="Ahmed"/>
    <s v="Adam"/>
    <x v="2"/>
    <x v="4"/>
    <x v="62"/>
    <x v="0"/>
    <n v="20"/>
    <n v="12"/>
    <d v="2023-06-03T00:00:00"/>
    <x v="0"/>
    <s v="ahmed.adam@example.org"/>
  </r>
  <r>
    <s v="SUD-0064"/>
    <s v="Yousef"/>
    <s v="Karrar"/>
    <x v="3"/>
    <x v="4"/>
    <x v="63"/>
    <x v="0"/>
    <n v="80"/>
    <n v="9"/>
    <d v="2025-12-18T00:00:00"/>
    <x v="1"/>
    <s v="yousef.karrar@example.org"/>
  </r>
  <r>
    <s v="SUD-0065"/>
    <s v="Omar"/>
    <s v="Hassan"/>
    <x v="2"/>
    <x v="5"/>
    <x v="64"/>
    <x v="0"/>
    <n v="20"/>
    <n v="9"/>
    <d v="2023-09-23T00:00:00"/>
    <x v="0"/>
    <s v="omar.hassan@example.org"/>
  </r>
  <r>
    <s v="SUD-0066"/>
    <s v="Tarig"/>
    <s v="Idris"/>
    <x v="1"/>
    <x v="0"/>
    <x v="65"/>
    <x v="2"/>
    <n v="100"/>
    <n v="0"/>
    <d v="2026-10-03T00:00:00"/>
    <x v="1"/>
    <s v="tarig.idris@example.org"/>
  </r>
  <r>
    <s v="SUD-0067"/>
    <s v="Rania"/>
    <s v="Siddig"/>
    <x v="2"/>
    <x v="6"/>
    <x v="66"/>
    <x v="2"/>
    <n v="20"/>
    <n v="4"/>
    <d v="2022-06-16T00:00:00"/>
    <x v="0"/>
    <s v="rania.siddig@example.org"/>
  </r>
  <r>
    <s v="SUD-0068"/>
    <s v="Layla"/>
    <s v="Siddig"/>
    <x v="0"/>
    <x v="0"/>
    <x v="67"/>
    <x v="0"/>
    <n v="60"/>
    <n v="5"/>
    <d v="2022-07-15T00:00:00"/>
    <x v="0"/>
    <s v="layla.siddig@example.org"/>
  </r>
  <r>
    <s v="SUD-0069"/>
    <s v="Khalid"/>
    <s v="Siddig"/>
    <x v="1"/>
    <x v="1"/>
    <x v="68"/>
    <x v="1"/>
    <n v="0"/>
    <n v="4"/>
    <d v="2025-09-11T00:00:00"/>
    <x v="0"/>
    <s v="khalid.siddig@example.org"/>
  </r>
  <r>
    <s v="SUD-0070"/>
    <s v="Sara"/>
    <s v="Salih"/>
    <x v="5"/>
    <x v="4"/>
    <x v="69"/>
    <x v="0"/>
    <n v="40"/>
    <n v="9"/>
    <d v="2026-10-03T00:00:00"/>
    <x v="1"/>
    <s v="sara.salih@example.org"/>
  </r>
  <r>
    <s v="SUD-0071"/>
    <s v="Nour"/>
    <s v="Fadl"/>
    <x v="5"/>
    <x v="7"/>
    <x v="70"/>
    <x v="0"/>
    <n v="40"/>
    <n v="11"/>
    <d v="2026-10-03T00:00:00"/>
    <x v="1"/>
    <s v="nour.fadl@example.org"/>
  </r>
  <r>
    <s v="SUD-0072"/>
    <s v="Aisha"/>
    <s v="Elamin"/>
    <x v="0"/>
    <x v="0"/>
    <x v="71"/>
    <x v="0"/>
    <n v="60"/>
    <n v="8"/>
    <d v="2020-04-14T00:00:00"/>
    <x v="0"/>
    <s v="aisha.elamin@example.org"/>
  </r>
  <r>
    <s v="SUD-0073"/>
    <s v="Omar"/>
    <s v="Hassan"/>
    <x v="0"/>
    <x v="3"/>
    <x v="72"/>
    <x v="2"/>
    <n v="60"/>
    <n v="3"/>
    <d v="2024-10-29T00:00:00"/>
    <x v="0"/>
    <s v="omar.hassan@example.org"/>
  </r>
  <r>
    <s v="SUD-0074"/>
    <s v="Fatima"/>
    <s v="Siddig"/>
    <x v="5"/>
    <x v="4"/>
    <x v="73"/>
    <x v="1"/>
    <n v="0"/>
    <n v="0"/>
    <d v="2017-05-14T00:00:00"/>
    <x v="0"/>
    <s v="fatima.siddig@example.org"/>
  </r>
  <r>
    <s v="SUD-0075"/>
    <s v="Yousef"/>
    <s v="Hassan"/>
    <x v="3"/>
    <x v="2"/>
    <x v="74"/>
    <x v="0"/>
    <n v="80"/>
    <n v="1"/>
    <d v="2026-10-03T00:00:00"/>
    <x v="1"/>
    <s v="yousef.hassan@example.org"/>
  </r>
  <r>
    <s v="SUD-0076"/>
    <s v="Mariam"/>
    <s v="Bashir"/>
    <x v="2"/>
    <x v="3"/>
    <x v="75"/>
    <x v="0"/>
    <n v="20"/>
    <n v="6"/>
    <d v="2017-07-15T00:00:00"/>
    <x v="0"/>
    <s v="mariam.bashir@example.org"/>
  </r>
  <r>
    <s v="SUD-0077"/>
    <s v="Rania"/>
    <s v="Musa"/>
    <x v="1"/>
    <x v="7"/>
    <x v="76"/>
    <x v="0"/>
    <n v="100"/>
    <n v="11"/>
    <d v="2024-12-11T00:00:00"/>
    <x v="0"/>
    <s v="rania.musa@example.org"/>
  </r>
  <r>
    <s v="SUD-0078"/>
    <s v="Aisha"/>
    <s v="Adam"/>
    <x v="4"/>
    <x v="6"/>
    <x v="77"/>
    <x v="0"/>
    <n v="15"/>
    <n v="9"/>
    <d v="2025-02-27T00:00:00"/>
    <x v="0"/>
    <s v="aisha.adam@example.org"/>
  </r>
  <r>
    <s v="SUD-0079"/>
    <s v="Ibrahim"/>
    <s v="Idris"/>
    <x v="2"/>
    <x v="0"/>
    <x v="78"/>
    <x v="0"/>
    <n v="20"/>
    <n v="7"/>
    <d v="2026-02-09T00:00:00"/>
    <x v="1"/>
    <s v="ibrahim.idris@example.org"/>
  </r>
  <r>
    <s v="SUD-0080"/>
    <s v="Yousef"/>
    <s v="Idris"/>
    <x v="2"/>
    <x v="0"/>
    <x v="79"/>
    <x v="0"/>
    <n v="20"/>
    <n v="3"/>
    <d v="2026-10-03T00:00:00"/>
    <x v="1"/>
    <s v="yousef.idris@example.org"/>
  </r>
  <r>
    <s v="SUD-0081"/>
    <s v="Mohamed"/>
    <s v="Siddig"/>
    <x v="5"/>
    <x v="6"/>
    <x v="80"/>
    <x v="0"/>
    <n v="40"/>
    <n v="7"/>
    <d v="2023-07-28T00:00:00"/>
    <x v="0"/>
    <s v="mohamed.siddig@example.org"/>
  </r>
  <r>
    <s v="SUD-0082"/>
    <s v="Rania"/>
    <s v="Hamad"/>
    <x v="4"/>
    <x v="5"/>
    <x v="81"/>
    <x v="0"/>
    <n v="15"/>
    <n v="11"/>
    <d v="2026-10-03T00:00:00"/>
    <x v="1"/>
    <s v="rania.hamad@example.org"/>
  </r>
  <r>
    <s v="SUD-0083"/>
    <s v="Ibrahim"/>
    <s v="Siddig"/>
    <x v="5"/>
    <x v="5"/>
    <x v="82"/>
    <x v="0"/>
    <n v="40"/>
    <n v="8"/>
    <d v="2023-05-12T00:00:00"/>
    <x v="0"/>
    <s v="ibrahim.siddig@example.org"/>
  </r>
  <r>
    <s v="SUD-0084"/>
    <s v="Rania"/>
    <s v="Idris"/>
    <x v="3"/>
    <x v="2"/>
    <x v="83"/>
    <x v="0"/>
    <n v="80"/>
    <n v="3"/>
    <d v="2024-04-14T00:00:00"/>
    <x v="0"/>
    <s v="rania.idris@example.org"/>
  </r>
  <r>
    <s v="SUD-0085"/>
    <s v="Hassan"/>
    <s v="Idris"/>
    <x v="2"/>
    <x v="2"/>
    <x v="84"/>
    <x v="0"/>
    <n v="20"/>
    <n v="11"/>
    <d v="2023-03-20T00:00:00"/>
    <x v="0"/>
    <s v="hassan.idris@example.org"/>
  </r>
  <r>
    <s v="SUD-0086"/>
    <s v="Hassan"/>
    <s v="Karrar"/>
    <x v="2"/>
    <x v="0"/>
    <x v="85"/>
    <x v="0"/>
    <n v="20"/>
    <n v="0"/>
    <d v="2020-05-21T00:00:00"/>
    <x v="0"/>
    <s v="hassan.karrar@example.org"/>
  </r>
  <r>
    <s v="SUD-0087"/>
    <s v="Hassan"/>
    <s v="Abdalla"/>
    <x v="0"/>
    <x v="3"/>
    <x v="86"/>
    <x v="0"/>
    <n v="60"/>
    <n v="9"/>
    <d v="2021-12-07T00:00:00"/>
    <x v="0"/>
    <s v="hassan.abdalla@example.org"/>
  </r>
  <r>
    <s v="SUD-0088"/>
    <s v="Mariam"/>
    <s v="Elamin"/>
    <x v="5"/>
    <x v="5"/>
    <x v="87"/>
    <x v="0"/>
    <n v="40"/>
    <n v="1"/>
    <d v="2019-12-18T00:00:00"/>
    <x v="0"/>
    <s v="mariam.elamin@example.org"/>
  </r>
  <r>
    <s v="SUD-0089"/>
    <s v="Mohamed"/>
    <s v="Idris"/>
    <x v="4"/>
    <x v="3"/>
    <x v="88"/>
    <x v="0"/>
    <n v="15"/>
    <n v="7"/>
    <d v="2022-04-13T00:00:00"/>
    <x v="0"/>
    <s v="mohamed.idris@example.org"/>
  </r>
  <r>
    <s v="SUD-0090"/>
    <s v="Mohamed"/>
    <s v="Nour"/>
    <x v="2"/>
    <x v="6"/>
    <x v="89"/>
    <x v="0"/>
    <n v="20"/>
    <n v="8"/>
    <d v="2018-05-06T00:00:00"/>
    <x v="0"/>
    <s v="mohamed.nour@example.org"/>
  </r>
  <r>
    <s v="SUD-0091"/>
    <s v="Fatima"/>
    <s v="Salih"/>
    <x v="0"/>
    <x v="5"/>
    <x v="90"/>
    <x v="0"/>
    <n v="60"/>
    <n v="10"/>
    <d v="2023-01-28T00:00:00"/>
    <x v="0"/>
    <s v="fatima.salih@example.org"/>
  </r>
  <r>
    <s v="SUD-0092"/>
    <s v="Tarig"/>
    <s v="Musa"/>
    <x v="2"/>
    <x v="0"/>
    <x v="91"/>
    <x v="0"/>
    <n v="20"/>
    <n v="7"/>
    <d v="2024-10-03T00:00:00"/>
    <x v="0"/>
    <s v="tarig.musa@example.org"/>
  </r>
  <r>
    <s v="SUD-0093"/>
    <s v="Mohamed"/>
    <s v="Hamad"/>
    <x v="0"/>
    <x v="2"/>
    <x v="92"/>
    <x v="0"/>
    <n v="60"/>
    <n v="10"/>
    <d v="2026-01-10T00:00:00"/>
    <x v="1"/>
    <s v="mohamed.hamad@example.org"/>
  </r>
  <r>
    <s v="SUD-0094"/>
    <s v="Hassan"/>
    <s v="Hassan"/>
    <x v="1"/>
    <x v="0"/>
    <x v="93"/>
    <x v="1"/>
    <n v="0"/>
    <n v="7"/>
    <d v="2023-09-26T00:00:00"/>
    <x v="0"/>
    <s v="hassan.hassan@example.org"/>
  </r>
  <r>
    <s v="SUD-0095"/>
    <s v="Khalid"/>
    <s v="Fadl"/>
    <x v="0"/>
    <x v="4"/>
    <x v="25"/>
    <x v="0"/>
    <n v="60"/>
    <n v="6"/>
    <d v="2018-11-23T00:00:00"/>
    <x v="0"/>
    <s v="khalid.fadl@example.org"/>
  </r>
  <r>
    <s v="SUD-0096"/>
    <s v="Layla"/>
    <s v="Hamad"/>
    <x v="3"/>
    <x v="4"/>
    <x v="94"/>
    <x v="0"/>
    <n v="80"/>
    <n v="2"/>
    <d v="2023-11-19T00:00:00"/>
    <x v="0"/>
    <s v="layla.hamad@example.org"/>
  </r>
  <r>
    <s v="SUD-0097"/>
    <s v="Sara"/>
    <s v="Adam"/>
    <x v="4"/>
    <x v="7"/>
    <x v="95"/>
    <x v="0"/>
    <n v="15"/>
    <n v="2"/>
    <d v="2019-12-22T00:00:00"/>
    <x v="0"/>
    <s v="sara.adam@example.org"/>
  </r>
  <r>
    <s v="SUD-0098"/>
    <s v="Aisha"/>
    <s v="Bashir"/>
    <x v="0"/>
    <x v="4"/>
    <x v="96"/>
    <x v="0"/>
    <n v="60"/>
    <n v="9"/>
    <d v="2017-02-03T00:00:00"/>
    <x v="0"/>
    <s v="aisha.bashir@example.org"/>
  </r>
  <r>
    <s v="SUD-0099"/>
    <s v="Aisha"/>
    <s v="Fadl"/>
    <x v="5"/>
    <x v="7"/>
    <x v="97"/>
    <x v="2"/>
    <n v="40"/>
    <n v="2"/>
    <d v="2024-10-13T00:00:00"/>
    <x v="0"/>
    <s v="aisha.fadl@example.org"/>
  </r>
  <r>
    <s v="SUD-0100"/>
    <s v="Hassan"/>
    <s v="Hamad"/>
    <x v="4"/>
    <x v="7"/>
    <x v="98"/>
    <x v="1"/>
    <n v="0"/>
    <n v="11"/>
    <d v="2026-10-03T00:00:00"/>
    <x v="1"/>
    <s v="hassan.hamad@example.org"/>
  </r>
  <r>
    <s v="SUD-0101"/>
    <s v="Hassan"/>
    <s v="Siddig"/>
    <x v="4"/>
    <x v="7"/>
    <x v="99"/>
    <x v="0"/>
    <n v="15"/>
    <n v="5"/>
    <d v="2025-12-07T00:00:00"/>
    <x v="1"/>
    <s v="hassan.siddig@example.org"/>
  </r>
  <r>
    <s v="SUD-0102"/>
    <s v="Yousef"/>
    <s v="Karrar"/>
    <x v="5"/>
    <x v="7"/>
    <x v="100"/>
    <x v="0"/>
    <n v="40"/>
    <n v="7"/>
    <d v="2023-04-08T00:00:00"/>
    <x v="0"/>
    <s v="yousef.karrar@example.org"/>
  </r>
  <r>
    <s v="SUD-0103"/>
    <s v="Omar"/>
    <s v="Fadl"/>
    <x v="0"/>
    <x v="1"/>
    <x v="101"/>
    <x v="0"/>
    <n v="60"/>
    <n v="8"/>
    <d v="2026-10-03T00:00:00"/>
    <x v="1"/>
    <s v="omar.fadl@example.org"/>
  </r>
  <r>
    <s v="SUD-0104"/>
    <s v="Mariam"/>
    <s v="Fadl"/>
    <x v="1"/>
    <x v="4"/>
    <x v="102"/>
    <x v="0"/>
    <n v="100"/>
    <n v="9"/>
    <d v="2019-02-27T00:00:00"/>
    <x v="0"/>
    <s v="mariam.fadl@example.org"/>
  </r>
  <r>
    <s v="SUD-0105"/>
    <s v="Omar"/>
    <s v="Osman"/>
    <x v="1"/>
    <x v="7"/>
    <x v="103"/>
    <x v="0"/>
    <n v="100"/>
    <n v="11"/>
    <d v="2023-03-06T00:00:00"/>
    <x v="0"/>
    <s v="omar.osman@example.org"/>
  </r>
  <r>
    <s v="SUD-0106"/>
    <s v="Fatima"/>
    <s v="Abdalla"/>
    <x v="3"/>
    <x v="6"/>
    <x v="104"/>
    <x v="1"/>
    <n v="0"/>
    <n v="6"/>
    <d v="2025-01-01T00:00:00"/>
    <x v="0"/>
    <s v="fatima.abdalla@example.org"/>
  </r>
  <r>
    <s v="SUD-0107"/>
    <s v="Sara"/>
    <s v="Fadl"/>
    <x v="3"/>
    <x v="4"/>
    <x v="105"/>
    <x v="0"/>
    <n v="80"/>
    <n v="4"/>
    <d v="2023-02-10T00:00:00"/>
    <x v="0"/>
    <s v="sara.fadl@example.org"/>
  </r>
  <r>
    <s v="SUD-0108"/>
    <s v="Fatima"/>
    <s v="Adam"/>
    <x v="2"/>
    <x v="3"/>
    <x v="106"/>
    <x v="2"/>
    <n v="20"/>
    <n v="9"/>
    <d v="2017-02-04T00:00:00"/>
    <x v="0"/>
    <s v="fatima.adam@example.org"/>
  </r>
  <r>
    <s v="SUD-0109"/>
    <s v="Yousef"/>
    <s v="Hamad"/>
    <x v="5"/>
    <x v="6"/>
    <x v="107"/>
    <x v="0"/>
    <n v="40"/>
    <n v="2"/>
    <d v="2026-10-03T00:00:00"/>
    <x v="1"/>
    <s v="yousef.hamad@example.org"/>
  </r>
  <r>
    <s v="SUD-0110"/>
    <s v="Mohamed"/>
    <s v="Idris"/>
    <x v="4"/>
    <x v="1"/>
    <x v="108"/>
    <x v="0"/>
    <n v="15"/>
    <n v="4"/>
    <d v="2026-10-03T00:00:00"/>
    <x v="1"/>
    <s v="mohamed.idris@example.org"/>
  </r>
  <r>
    <s v="SUD-0111"/>
    <s v="Nour"/>
    <s v="Abdalla"/>
    <x v="2"/>
    <x v="0"/>
    <x v="109"/>
    <x v="0"/>
    <n v="20"/>
    <n v="10"/>
    <d v="2019-02-02T00:00:00"/>
    <x v="0"/>
    <s v="nour.abdalla@example.org"/>
  </r>
  <r>
    <s v="SUD-0112"/>
    <s v="Ibrahim"/>
    <s v="Bashir"/>
    <x v="5"/>
    <x v="2"/>
    <x v="110"/>
    <x v="0"/>
    <n v="40"/>
    <n v="12"/>
    <d v="2025-06-20T00:00:00"/>
    <x v="0"/>
    <s v="ibrahim.bashir@example.org"/>
  </r>
  <r>
    <s v="SUD-0113"/>
    <s v="Sara"/>
    <s v="Ali"/>
    <x v="0"/>
    <x v="4"/>
    <x v="111"/>
    <x v="0"/>
    <n v="60"/>
    <n v="4"/>
    <d v="2024-04-03T00:00:00"/>
    <x v="0"/>
    <s v="sara.ali@example.org"/>
  </r>
  <r>
    <s v="SUD-0114"/>
    <s v="Ibrahim"/>
    <s v="Nour"/>
    <x v="3"/>
    <x v="2"/>
    <x v="112"/>
    <x v="0"/>
    <n v="80"/>
    <n v="5"/>
    <d v="2024-10-14T00:00:00"/>
    <x v="0"/>
    <s v="ibrahim.nour@example.org"/>
  </r>
  <r>
    <s v="SUD-0115"/>
    <s v="Ibrahim"/>
    <s v="Fadl"/>
    <x v="1"/>
    <x v="5"/>
    <x v="113"/>
    <x v="0"/>
    <n v="100"/>
    <n v="5"/>
    <d v="2026-10-03T00:00:00"/>
    <x v="1"/>
    <s v="ibrahim.fadl@example.org"/>
  </r>
  <r>
    <s v="SUD-0116"/>
    <s v="Nour"/>
    <s v="Siddig"/>
    <x v="5"/>
    <x v="0"/>
    <x v="114"/>
    <x v="0"/>
    <n v="40"/>
    <n v="9"/>
    <d v="2026-10-03T00:00:00"/>
    <x v="1"/>
    <s v="nour.siddig@example.org"/>
  </r>
  <r>
    <s v="SUD-0117"/>
    <s v="Sara"/>
    <s v="Osman"/>
    <x v="0"/>
    <x v="6"/>
    <x v="115"/>
    <x v="1"/>
    <n v="0"/>
    <n v="1"/>
    <d v="2023-04-02T00:00:00"/>
    <x v="0"/>
    <s v="sara.osman@example.org"/>
  </r>
  <r>
    <s v="SUD-0118"/>
    <s v="Aisha"/>
    <s v="Hassan"/>
    <x v="5"/>
    <x v="1"/>
    <x v="116"/>
    <x v="2"/>
    <n v="40"/>
    <n v="2"/>
    <d v="2021-02-07T00:00:00"/>
    <x v="0"/>
    <s v="aisha.hassan@example.org"/>
  </r>
  <r>
    <s v="SUD-0119"/>
    <s v="Aisha"/>
    <s v="Abdalla"/>
    <x v="3"/>
    <x v="6"/>
    <x v="117"/>
    <x v="2"/>
    <n v="80"/>
    <n v="5"/>
    <d v="2025-03-09T00:00:00"/>
    <x v="0"/>
    <s v="aisha.abdalla@example.org"/>
  </r>
  <r>
    <s v="SUD-0120"/>
    <s v="Mariam"/>
    <s v="Nour"/>
    <x v="0"/>
    <x v="6"/>
    <x v="118"/>
    <x v="0"/>
    <n v="60"/>
    <n v="11"/>
    <d v="2022-03-16T00:00:00"/>
    <x v="0"/>
    <s v="mariam.nour@example.org"/>
  </r>
  <r>
    <s v="SUD-0121"/>
    <s v="Fatima"/>
    <s v="Nour"/>
    <x v="2"/>
    <x v="1"/>
    <x v="119"/>
    <x v="0"/>
    <n v="20"/>
    <n v="8"/>
    <d v="2026-02-24T00:00:00"/>
    <x v="1"/>
    <s v="fatima.nour@example.org"/>
  </r>
  <r>
    <s v="SUD-0122"/>
    <s v="Ahmed"/>
    <s v="Nour"/>
    <x v="1"/>
    <x v="3"/>
    <x v="120"/>
    <x v="0"/>
    <n v="100"/>
    <n v="10"/>
    <d v="2026-01-31T00:00:00"/>
    <x v="1"/>
    <s v="ahmed.nour@example.org"/>
  </r>
  <r>
    <s v="SUD-0123"/>
    <s v="Mariam"/>
    <s v="Elamin"/>
    <x v="5"/>
    <x v="4"/>
    <x v="121"/>
    <x v="0"/>
    <n v="40"/>
    <n v="6"/>
    <d v="2025-06-27T00:00:00"/>
    <x v="0"/>
    <s v="mariam.elamin@example.org"/>
  </r>
  <r>
    <s v="SUD-0124"/>
    <s v="Mariam"/>
    <s v="Elamin"/>
    <x v="2"/>
    <x v="4"/>
    <x v="122"/>
    <x v="0"/>
    <n v="20"/>
    <n v="11"/>
    <d v="2021-01-13T00:00:00"/>
    <x v="0"/>
    <s v="mariam.elamin@example.org"/>
  </r>
  <r>
    <s v="SUD-0125"/>
    <s v="Layla"/>
    <s v="Adam"/>
    <x v="4"/>
    <x v="3"/>
    <x v="123"/>
    <x v="0"/>
    <n v="15"/>
    <n v="10"/>
    <d v="2026-01-14T00:00:00"/>
    <x v="1"/>
    <s v="layla.adam@example.org"/>
  </r>
  <r>
    <s v="SUD-0126"/>
    <s v="Mohamed"/>
    <s v="Fadl"/>
    <x v="1"/>
    <x v="2"/>
    <x v="124"/>
    <x v="0"/>
    <n v="100"/>
    <n v="7"/>
    <d v="2024-09-17T00:00:00"/>
    <x v="0"/>
    <s v="mohamed.fadl@example.org"/>
  </r>
  <r>
    <s v="SUD-0127"/>
    <s v="Ibrahim"/>
    <s v="Abdalla"/>
    <x v="5"/>
    <x v="3"/>
    <x v="125"/>
    <x v="0"/>
    <n v="40"/>
    <n v="6"/>
    <d v="2021-02-12T00:00:00"/>
    <x v="0"/>
    <s v="ibrahim.abdalla@example.org"/>
  </r>
  <r>
    <s v="SUD-0128"/>
    <s v="Khalid"/>
    <s v="Hassan"/>
    <x v="2"/>
    <x v="5"/>
    <x v="126"/>
    <x v="0"/>
    <n v="20"/>
    <n v="7"/>
    <d v="2017-08-31T00:00:00"/>
    <x v="0"/>
    <s v="khalid.hassan@example.org"/>
  </r>
  <r>
    <s v="SUD-0129"/>
    <s v="Ahmed"/>
    <s v="Hassan"/>
    <x v="0"/>
    <x v="4"/>
    <x v="127"/>
    <x v="0"/>
    <n v="60"/>
    <n v="10"/>
    <d v="2021-06-02T00:00:00"/>
    <x v="0"/>
    <s v="ahmed.hassan@example.org"/>
  </r>
  <r>
    <s v="SUD-0130"/>
    <s v="Sara"/>
    <s v="Hassan"/>
    <x v="5"/>
    <x v="0"/>
    <x v="128"/>
    <x v="0"/>
    <n v="40"/>
    <n v="1"/>
    <d v="2026-10-03T00:00:00"/>
    <x v="1"/>
    <s v="sara.hassan@example.org"/>
  </r>
  <r>
    <s v="SUD-0131"/>
    <s v="Rania"/>
    <s v="Fadl"/>
    <x v="2"/>
    <x v="3"/>
    <x v="129"/>
    <x v="0"/>
    <n v="20"/>
    <n v="5"/>
    <d v="2026-10-03T00:00:00"/>
    <x v="1"/>
    <s v="rania.fadl@example.org"/>
  </r>
  <r>
    <s v="SUD-0132"/>
    <s v="Sara"/>
    <s v="Karrar"/>
    <x v="5"/>
    <x v="1"/>
    <x v="130"/>
    <x v="2"/>
    <n v="40"/>
    <n v="4"/>
    <d v="2023-06-22T00:00:00"/>
    <x v="0"/>
    <s v="sara.karrar@example.org"/>
  </r>
  <r>
    <s v="SUD-0133"/>
    <s v="Mariam"/>
    <s v="Nour"/>
    <x v="0"/>
    <x v="7"/>
    <x v="131"/>
    <x v="0"/>
    <n v="60"/>
    <n v="4"/>
    <d v="2021-05-05T00:00:00"/>
    <x v="0"/>
    <s v="mariam.nour@example.org"/>
  </r>
  <r>
    <s v="SUD-0134"/>
    <s v="Omar"/>
    <s v="Fadl"/>
    <x v="0"/>
    <x v="4"/>
    <x v="132"/>
    <x v="0"/>
    <n v="60"/>
    <n v="3"/>
    <d v="2026-10-03T00:00:00"/>
    <x v="1"/>
    <s v="omar.fadl@example.org"/>
  </r>
  <r>
    <s v="SUD-0135"/>
    <s v="Fatima"/>
    <s v="Siddig"/>
    <x v="5"/>
    <x v="0"/>
    <x v="133"/>
    <x v="0"/>
    <n v="40"/>
    <n v="12"/>
    <d v="2024-12-03T00:00:00"/>
    <x v="0"/>
    <s v="fatima.siddig@example.org"/>
  </r>
  <r>
    <s v="SUD-0136"/>
    <s v="Yousef"/>
    <s v="Osman"/>
    <x v="5"/>
    <x v="3"/>
    <x v="134"/>
    <x v="0"/>
    <n v="40"/>
    <n v="0"/>
    <d v="2023-09-09T00:00:00"/>
    <x v="0"/>
    <s v="yousef.osman@example.org"/>
  </r>
  <r>
    <s v="SUD-0137"/>
    <s v="Ahmed"/>
    <s v="Osman"/>
    <x v="4"/>
    <x v="1"/>
    <x v="135"/>
    <x v="0"/>
    <n v="15"/>
    <n v="2"/>
    <d v="2026-10-03T00:00:00"/>
    <x v="1"/>
    <s v="ahmed.osman@example.org"/>
  </r>
  <r>
    <s v="SUD-0138"/>
    <s v="Fatima"/>
    <s v="Hamad"/>
    <x v="1"/>
    <x v="7"/>
    <x v="136"/>
    <x v="0"/>
    <n v="100"/>
    <n v="11"/>
    <d v="2026-10-03T00:00:00"/>
    <x v="1"/>
    <s v="fatima.hamad@example.org"/>
  </r>
  <r>
    <s v="SUD-0139"/>
    <s v="Omar"/>
    <s v="Osman"/>
    <x v="4"/>
    <x v="7"/>
    <x v="137"/>
    <x v="0"/>
    <n v="15"/>
    <n v="2"/>
    <d v="2021-12-17T00:00:00"/>
    <x v="0"/>
    <s v="omar.osman@example.org"/>
  </r>
  <r>
    <s v="SUD-0140"/>
    <s v="Mohamed"/>
    <s v="Hamad"/>
    <x v="0"/>
    <x v="7"/>
    <x v="138"/>
    <x v="0"/>
    <n v="60"/>
    <n v="11"/>
    <d v="2017-01-01T00:00:00"/>
    <x v="0"/>
    <s v="mohamed.hamad@example.org"/>
  </r>
  <r>
    <s v="SUD-0141"/>
    <s v="Hassan"/>
    <s v="Hassan"/>
    <x v="5"/>
    <x v="0"/>
    <x v="139"/>
    <x v="2"/>
    <n v="40"/>
    <n v="2"/>
    <d v="2021-03-01T00:00:00"/>
    <x v="0"/>
    <s v="hassan.hassan@example.org"/>
  </r>
  <r>
    <s v="SUD-0142"/>
    <s v="Yousef"/>
    <s v="Abdalla"/>
    <x v="0"/>
    <x v="3"/>
    <x v="140"/>
    <x v="0"/>
    <n v="60"/>
    <n v="11"/>
    <d v="2020-04-26T00:00:00"/>
    <x v="0"/>
    <s v="yousef.abdalla@example.org"/>
  </r>
  <r>
    <s v="SUD-0143"/>
    <s v="Omar"/>
    <s v="Elamin"/>
    <x v="0"/>
    <x v="7"/>
    <x v="141"/>
    <x v="0"/>
    <n v="60"/>
    <n v="5"/>
    <d v="2021-08-20T00:00:00"/>
    <x v="0"/>
    <s v="omar.elamin@example.org"/>
  </r>
  <r>
    <s v="SUD-0144"/>
    <s v="Tarig"/>
    <s v="Musa"/>
    <x v="0"/>
    <x v="3"/>
    <x v="142"/>
    <x v="0"/>
    <n v="60"/>
    <n v="8"/>
    <d v="2023-01-28T00:00:00"/>
    <x v="0"/>
    <s v="tarig.musa@example.org"/>
  </r>
  <r>
    <s v="SUD-0145"/>
    <s v="Mohamed"/>
    <s v="Hassan"/>
    <x v="1"/>
    <x v="6"/>
    <x v="143"/>
    <x v="0"/>
    <n v="100"/>
    <n v="7"/>
    <d v="2026-01-24T00:00:00"/>
    <x v="1"/>
    <s v="mohamed.hassan@example.org"/>
  </r>
  <r>
    <s v="SUD-0146"/>
    <s v="Ahmed"/>
    <s v="Osman"/>
    <x v="2"/>
    <x v="1"/>
    <x v="144"/>
    <x v="2"/>
    <n v="20"/>
    <n v="12"/>
    <d v="2026-10-03T00:00:00"/>
    <x v="1"/>
    <s v="ahmed.osman@example.org"/>
  </r>
  <r>
    <s v="SUD-0147"/>
    <s v="Mohamed"/>
    <s v="Osman"/>
    <x v="0"/>
    <x v="2"/>
    <x v="145"/>
    <x v="2"/>
    <n v="60"/>
    <n v="4"/>
    <d v="2021-04-13T00:00:00"/>
    <x v="0"/>
    <s v="mohamed.osman@example.org"/>
  </r>
  <r>
    <s v="SUD-0148"/>
    <s v="Nour"/>
    <s v="Nour"/>
    <x v="4"/>
    <x v="7"/>
    <x v="146"/>
    <x v="1"/>
    <n v="0"/>
    <n v="3"/>
    <d v="2026-01-23T00:00:00"/>
    <x v="1"/>
    <s v="nour.nour@example.org"/>
  </r>
  <r>
    <s v="SUD-0149"/>
    <s v="Rania"/>
    <s v="Karrar"/>
    <x v="5"/>
    <x v="6"/>
    <x v="147"/>
    <x v="0"/>
    <n v="40"/>
    <n v="12"/>
    <d v="2026-10-03T00:00:00"/>
    <x v="1"/>
    <s v="rania.karrar@example.org"/>
  </r>
  <r>
    <s v="SUD-0150"/>
    <s v="Mariam"/>
    <s v="Nour"/>
    <x v="5"/>
    <x v="0"/>
    <x v="148"/>
    <x v="0"/>
    <n v="40"/>
    <n v="4"/>
    <d v="2025-06-12T00:00:00"/>
    <x v="0"/>
    <s v="mariam.nour@example.or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atus" cacheId="45"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9:B41" firstHeaderRow="1" firstDataRow="1" firstDataCol="1"/>
  <pivotFields count="13">
    <pivotField dataField="1" showAll="0"/>
    <pivotField showAll="0"/>
    <pivotField showAll="0"/>
    <pivotField showAll="0">
      <items count="7">
        <item x="5"/>
        <item x="1"/>
        <item x="2"/>
        <item x="0"/>
        <item x="3"/>
        <item x="4"/>
        <item t="default"/>
      </items>
    </pivotField>
    <pivotField showAll="0">
      <items count="9">
        <item x="2"/>
        <item x="1"/>
        <item x="7"/>
        <item x="6"/>
        <item x="4"/>
        <item x="5"/>
        <item x="0"/>
        <item x="3"/>
        <item t="default"/>
      </items>
    </pivotField>
    <pivotField numFmtId="14" showAll="0"/>
    <pivotField showAll="0"/>
    <pivotField showAll="0"/>
    <pivotField showAll="0"/>
    <pivotField numFmtId="14" showAll="0"/>
    <pivotField axis="axisRow" showAll="0">
      <items count="3">
        <item x="1"/>
        <item x="0"/>
        <item t="default"/>
      </items>
    </pivotField>
    <pivotField showAll="0"/>
    <pivotField showAll="0" defaultSubtotal="0"/>
  </pivotFields>
  <rowFields count="1">
    <field x="10"/>
  </rowFields>
  <rowItems count="2">
    <i>
      <x/>
    </i>
    <i>
      <x v="1"/>
    </i>
  </rowItems>
  <colItems count="1">
    <i/>
  </colItems>
  <dataFields count="1">
    <dataField name="Count of Member ID"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Dues" cacheId="45"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27:B35" firstHeaderRow="1" firstDataRow="1" firstDataCol="1" rowPageCount="1" colPageCount="1"/>
  <pivotFields count="13">
    <pivotField showAll="0"/>
    <pivotField showAll="0"/>
    <pivotField showAll="0"/>
    <pivotField showAll="0">
      <items count="7">
        <item x="5"/>
        <item x="1"/>
        <item x="2"/>
        <item x="0"/>
        <item x="3"/>
        <item x="4"/>
        <item t="default"/>
      </items>
    </pivotField>
    <pivotField axis="axisRow" showAll="0">
      <items count="9">
        <item x="2"/>
        <item x="1"/>
        <item x="7"/>
        <item x="6"/>
        <item x="4"/>
        <item x="5"/>
        <item x="0"/>
        <item x="3"/>
        <item t="default"/>
      </items>
    </pivotField>
    <pivotField numFmtId="14" showAll="0"/>
    <pivotField axis="axisPage" showAll="0">
      <items count="4">
        <item x="0"/>
        <item x="2"/>
        <item x="1"/>
        <item t="default"/>
      </items>
    </pivotField>
    <pivotField dataField="1" showAll="0"/>
    <pivotField showAll="0"/>
    <pivotField numFmtId="14" showAll="0"/>
    <pivotField showAll="0"/>
    <pivotField showAll="0"/>
    <pivotField showAll="0" defaultSubtotal="0"/>
  </pivotFields>
  <rowFields count="1">
    <field x="4"/>
  </rowFields>
  <rowItems count="8">
    <i>
      <x/>
    </i>
    <i>
      <x v="1"/>
    </i>
    <i>
      <x v="2"/>
    </i>
    <i>
      <x v="3"/>
    </i>
    <i>
      <x v="4"/>
    </i>
    <i>
      <x v="5"/>
    </i>
    <i>
      <x v="6"/>
    </i>
    <i>
      <x v="7"/>
    </i>
  </rowItems>
  <colItems count="1">
    <i/>
  </colItems>
  <pageFields count="1">
    <pageField fld="6" item="0" hier="-1"/>
  </pageFields>
  <dataFields count="1">
    <dataField name="Sum of Dues Amount" fld="7"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rade" cacheId="45"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15:B21" firstHeaderRow="1" firstDataRow="1" firstDataCol="1"/>
  <pivotFields count="13">
    <pivotField dataField="1" showAll="0"/>
    <pivotField showAll="0"/>
    <pivotField showAll="0"/>
    <pivotField axis="axisRow" showAll="0">
      <items count="7">
        <item x="5"/>
        <item x="1"/>
        <item x="2"/>
        <item x="0"/>
        <item x="3"/>
        <item x="4"/>
        <item t="default"/>
      </items>
    </pivotField>
    <pivotField showAll="0">
      <items count="9">
        <item x="2"/>
        <item x="1"/>
        <item x="7"/>
        <item x="6"/>
        <item x="4"/>
        <item x="5"/>
        <item x="0"/>
        <item x="3"/>
        <item t="default"/>
      </items>
    </pivotField>
    <pivotField numFmtId="14" showAll="0"/>
    <pivotField showAll="0"/>
    <pivotField showAll="0"/>
    <pivotField showAll="0"/>
    <pivotField numFmtId="14" showAll="0"/>
    <pivotField showAll="0"/>
    <pivotField showAll="0"/>
    <pivotField showAll="0" defaultSubtotal="0"/>
  </pivotFields>
  <rowFields count="1">
    <field x="3"/>
  </rowFields>
  <rowItems count="6">
    <i>
      <x/>
    </i>
    <i>
      <x v="1"/>
    </i>
    <i>
      <x v="2"/>
    </i>
    <i>
      <x v="3"/>
    </i>
    <i>
      <x v="4"/>
    </i>
    <i>
      <x v="5"/>
    </i>
  </rowItems>
  <colItems count="1">
    <i/>
  </colItems>
  <dataFields count="1">
    <dataField name="Count of Member ID"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Growth" cacheId="45"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location ref="A1:B11" firstHeaderRow="1" firstDataRow="1" firstDataCol="1"/>
  <pivotFields count="13">
    <pivotField dataField="1" showAll="0"/>
    <pivotField showAll="0"/>
    <pivotField showAll="0"/>
    <pivotField showAll="0">
      <items count="7">
        <item x="5"/>
        <item x="1"/>
        <item x="2"/>
        <item x="0"/>
        <item x="3"/>
        <item x="4"/>
        <item t="default"/>
      </items>
    </pivotField>
    <pivotField showAll="0">
      <items count="9">
        <item x="2"/>
        <item x="1"/>
        <item x="7"/>
        <item x="6"/>
        <item x="4"/>
        <item x="5"/>
        <item x="0"/>
        <item x="3"/>
        <item t="default"/>
      </items>
    </pivotField>
    <pivotField axis="axisRow" numFmtId="14" showAll="0">
      <items count="15">
        <item x="0"/>
        <item x="1"/>
        <item x="2"/>
        <item x="3"/>
        <item x="4"/>
        <item x="5"/>
        <item x="6"/>
        <item x="7"/>
        <item x="8"/>
        <item x="9"/>
        <item x="10"/>
        <item x="11"/>
        <item x="12"/>
        <item x="13"/>
        <item t="default"/>
      </items>
    </pivotField>
    <pivotField showAll="0"/>
    <pivotField showAll="0"/>
    <pivotField showAll="0"/>
    <pivotField numFmtId="14" showAll="0"/>
    <pivotField showAll="0"/>
    <pivotField showAll="0"/>
    <pivotField axis="axisRow" showAll="0" defaultSubtotal="0">
      <items count="12">
        <item x="0"/>
        <item sd="0" x="1"/>
        <item sd="0" x="2"/>
        <item sd="0" x="3"/>
        <item sd="0" x="4"/>
        <item sd="0" x="5"/>
        <item sd="0" x="6"/>
        <item sd="0" x="7"/>
        <item sd="0" x="8"/>
        <item sd="0" x="9"/>
        <item sd="0" x="10"/>
        <item x="11"/>
      </items>
    </pivotField>
  </pivotFields>
  <rowFields count="2">
    <field x="12"/>
    <field x="5"/>
  </rowFields>
  <rowItems count="10">
    <i>
      <x v="1"/>
    </i>
    <i>
      <x v="2"/>
    </i>
    <i>
      <x v="3"/>
    </i>
    <i>
      <x v="4"/>
    </i>
    <i>
      <x v="5"/>
    </i>
    <i>
      <x v="6"/>
    </i>
    <i>
      <x v="7"/>
    </i>
    <i>
      <x v="8"/>
    </i>
    <i>
      <x v="9"/>
    </i>
    <i>
      <x v="10"/>
    </i>
  </rowItems>
  <colItems count="1">
    <i/>
  </colItems>
  <dataFields count="1">
    <dataField name="Count of Member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ction" sourceName="Section">
  <pivotTables>
    <pivotTable tabId="6" name="Growth"/>
    <pivotTable tabId="6" name="Dues"/>
    <pivotTable tabId="6" name="Grade"/>
    <pivotTable tabId="6" name="Status"/>
  </pivotTables>
  <data>
    <tabular pivotCacheId="1">
      <items count="8">
        <i x="2" s="1"/>
        <i x="1" s="1"/>
        <i x="7" s="1"/>
        <i x="6" s="1"/>
        <i x="4" s="1"/>
        <i x="5"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rade" sourceName="Grade">
  <pivotTables>
    <pivotTable tabId="6" name="Growth"/>
    <pivotTable tabId="6" name="Dues"/>
    <pivotTable tabId="6" name="Grade"/>
    <pivotTable tabId="6" name="Status"/>
  </pivotTables>
  <data>
    <tabular pivotCacheId="1">
      <items count="6">
        <i x="5" s="1"/>
        <i x="1" s="1"/>
        <i x="2"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ction" cache="Slicer_Section" caption="Section" rowHeight="241300"/>
  <slicer name="Grade" cache="Slicer_Grade" caption="Grade" rowHeight="241300"/>
</slicers>
</file>

<file path=xl/tables/table1.xml><?xml version="1.0" encoding="utf-8"?>
<table xmlns="http://schemas.openxmlformats.org/spreadsheetml/2006/main" id="1" name="Members" displayName="Members" ref="A1:L151" headerRowDxfId="48" dataDxfId="47">
  <autoFilter ref="A1:L151"/>
  <tableColumns count="12">
    <tableColumn id="1" name="Member ID" dataDxfId="45" totalsRowDxfId="46"/>
    <tableColumn id="2" name="First Name" dataDxfId="43" totalsRowDxfId="44"/>
    <tableColumn id="3" name="Last Name" dataDxfId="41" totalsRowDxfId="42"/>
    <tableColumn id="4" name="Grade" dataDxfId="39" totalsRowDxfId="40"/>
    <tableColumn id="5" name="Section" dataDxfId="37" totalsRowDxfId="38"/>
    <tableColumn id="6" name="Join Date" dataDxfId="35" totalsRowDxfId="36"/>
    <tableColumn id="7" name="Dues Status" dataDxfId="33" totalsRowDxfId="34"/>
    <tableColumn id="8" name="Dues Amount" dataDxfId="31" totalsRowDxfId="32"/>
    <tableColumn id="9" name="Events Attended" dataDxfId="29" totalsRowDxfId="30"/>
    <tableColumn id="10" name="Last Activity" dataDxfId="23" totalsRowDxfId="28"/>
    <tableColumn id="11" name="Membership Status" dataDxfId="26" totalsRowDxfId="27"/>
    <tableColumn id="12" name="Email" totalsRowFunction="custom" dataDxfId="24" totalsRowDxfId="25">
      <totalsRowFormula>SUMPRODUCT(--(J2:J151&lt;F2:F151))</totalsRowFormula>
    </tableColumn>
  </tableColumns>
  <tableStyleInfo name="TableStyleMedium15" showFirstColumn="0" showLastColumn="0" showRowStripes="1" showColumnStripes="0"/>
</table>
</file>

<file path=xl/tables/table2.xml><?xml version="1.0" encoding="utf-8"?>
<table xmlns="http://schemas.openxmlformats.org/spreadsheetml/2006/main" id="2" name="By_Grade" displayName="By_Grade" ref="A9:D16" totalsRowShown="0" headerRowDxfId="22" dataDxfId="21">
  <autoFilter ref="A9:D16"/>
  <tableColumns count="4">
    <tableColumn id="1" name="Grade" dataDxfId="20"/>
    <tableColumn id="2" name="Members" dataDxfId="19">
      <calculatedColumnFormula>COUNTIF(Members[Grade],$A10)</calculatedColumnFormula>
    </tableColumn>
    <tableColumn id="3" name="Dues collected" dataDxfId="17">
      <calculatedColumnFormula>SUMIFS(Members[Dues Amount],Members[Grade],$A10,Members[Dues Status],"Paid")</calculatedColumnFormula>
    </tableColumn>
    <tableColumn id="4" name="Avg events" dataDxfId="18">
      <calculatedColumnFormula>AVERAGEIF(Members[Grade],$A10,Members[Events Attended])</calculatedColumnFormula>
    </tableColumn>
  </tableColumns>
  <tableStyleInfo name="TableStyleMedium15" showFirstColumn="0" showLastColumn="0" showRowStripes="1" showColumnStripes="0"/>
</table>
</file>

<file path=xl/tables/table3.xml><?xml version="1.0" encoding="utf-8"?>
<table xmlns="http://schemas.openxmlformats.org/spreadsheetml/2006/main" id="3" name="By_Section" displayName="By_Section" ref="A19:D28" totalsRowShown="0" headerRowDxfId="11" dataDxfId="16" headerRowBorderDxfId="14" tableBorderDxfId="15" totalsRowBorderDxfId="13">
  <autoFilter ref="A19:D28"/>
  <tableColumns count="4">
    <tableColumn id="1" name="Section" dataDxfId="12"/>
    <tableColumn id="2" name="Members" dataDxfId="5">
      <calculatedColumnFormula>COUNTIF(Members[Section],$A19)</calculatedColumnFormula>
    </tableColumn>
    <tableColumn id="3" name="Active" dataDxfId="7">
      <calculatedColumnFormula>COUNTIFS(Members[Section],$A20,Members[Membership Status],"Active")</calculatedColumnFormula>
    </tableColumn>
    <tableColumn id="4" name="Dues collected" dataDxfId="6">
      <calculatedColumnFormula>SUMIFS(Members[Dues Amount],Members[Section],$A20,Members[Dues Status],"Paid")</calculatedColumnFormula>
    </tableColumn>
  </tableColumns>
  <tableStyleInfo name="TableStyleMedium15" showFirstColumn="0" showLastColumn="0" showRowStripes="1" showColumnStripes="0"/>
</table>
</file>

<file path=xl/tables/table4.xml><?xml version="1.0" encoding="utf-8"?>
<table xmlns="http://schemas.openxmlformats.org/spreadsheetml/2006/main" id="4" name="Table4" displayName="Table4" ref="A31:C41" totalsRowShown="0" headerRowDxfId="9" dataDxfId="8">
  <autoFilter ref="A31:C41"/>
  <tableColumns count="3">
    <tableColumn id="1" name="Year (2016–2025)" dataDxfId="10"/>
    <tableColumn id="2" name="New members" dataDxfId="4">
      <calculatedColumnFormula>SUMPRODUCT(--(YEAR(Members[Join Date])=$A32))</calculatedColumnFormula>
    </tableColumn>
    <tableColumn id="3" name="Cumulative" dataDxfId="3">
      <calculatedColumnFormula>SUM($B$32:B32)</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 sqref="G1"/>
    </sheetView>
  </sheetViews>
  <sheetFormatPr defaultRowHeight="15" x14ac:dyDescent="0.25"/>
  <cols>
    <col min="1" max="1" width="74.7109375" customWidth="1"/>
  </cols>
  <sheetData>
    <row r="1" spans="1:1" ht="409.5" x14ac:dyDescent="0.4">
      <c r="A1" s="34" t="s">
        <v>345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2"/>
  <sheetViews>
    <sheetView topLeftCell="A2" zoomScale="95" zoomScaleNormal="95" workbookViewId="0">
      <selection activeCell="K2" sqref="K2"/>
    </sheetView>
  </sheetViews>
  <sheetFormatPr defaultRowHeight="15" x14ac:dyDescent="0.25"/>
  <cols>
    <col min="1" max="1" width="15.5703125" bestFit="1" customWidth="1"/>
    <col min="2" max="2" width="15.140625" bestFit="1" customWidth="1"/>
    <col min="3" max="3" width="14.85546875" bestFit="1" customWidth="1"/>
    <col min="4" max="4" width="15.42578125" bestFit="1" customWidth="1"/>
    <col min="5" max="5" width="12.85546875" bestFit="1" customWidth="1"/>
    <col min="6" max="6" width="14" bestFit="1" customWidth="1"/>
    <col min="7" max="7" width="13.7109375" customWidth="1"/>
    <col min="8" max="8" width="15.140625" customWidth="1"/>
    <col min="9" max="9" width="17.85546875" customWidth="1"/>
    <col min="10" max="10" width="13.7109375" customWidth="1"/>
    <col min="11" max="11" width="20.42578125" customWidth="1"/>
    <col min="12" max="12" width="32" bestFit="1" customWidth="1"/>
  </cols>
  <sheetData>
    <row r="1" spans="1:12" x14ac:dyDescent="0.25">
      <c r="A1" s="1" t="s">
        <v>49</v>
      </c>
      <c r="B1" s="1" t="s">
        <v>50</v>
      </c>
      <c r="C1" s="1" t="s">
        <v>53</v>
      </c>
      <c r="D1" s="1" t="s">
        <v>28</v>
      </c>
      <c r="E1" s="1" t="s">
        <v>36</v>
      </c>
      <c r="F1" s="1" t="s">
        <v>54</v>
      </c>
      <c r="G1" s="1" t="s">
        <v>45</v>
      </c>
      <c r="H1" s="1" t="s">
        <v>55</v>
      </c>
      <c r="I1" s="1" t="s">
        <v>56</v>
      </c>
      <c r="J1" s="1" t="s">
        <v>57</v>
      </c>
      <c r="K1" s="1" t="s">
        <v>58</v>
      </c>
      <c r="L1" s="1" t="s">
        <v>59</v>
      </c>
    </row>
    <row r="2" spans="1:12" ht="15.75" x14ac:dyDescent="0.25">
      <c r="A2" s="2" t="s">
        <v>60</v>
      </c>
      <c r="B2" s="2" t="s">
        <v>10</v>
      </c>
      <c r="C2" s="3" t="s">
        <v>19</v>
      </c>
      <c r="D2" s="3" t="s">
        <v>32</v>
      </c>
      <c r="E2" s="3" t="s">
        <v>39</v>
      </c>
      <c r="F2" s="4">
        <v>43370</v>
      </c>
      <c r="G2" s="3" t="s">
        <v>46</v>
      </c>
      <c r="H2" s="3">
        <v>60</v>
      </c>
      <c r="I2" s="3">
        <v>5</v>
      </c>
      <c r="J2" s="4">
        <v>45309</v>
      </c>
      <c r="K2" s="3" t="s">
        <v>61</v>
      </c>
      <c r="L2" s="3" t="s">
        <v>62</v>
      </c>
    </row>
    <row r="3" spans="1:12" ht="15.75" x14ac:dyDescent="0.25">
      <c r="A3" s="2" t="s">
        <v>63</v>
      </c>
      <c r="B3" s="2" t="s">
        <v>4</v>
      </c>
      <c r="C3" s="3" t="s">
        <v>22</v>
      </c>
      <c r="D3" s="3" t="s">
        <v>34</v>
      </c>
      <c r="E3" s="3" t="s">
        <v>42</v>
      </c>
      <c r="F3" s="4">
        <v>43876</v>
      </c>
      <c r="G3" s="3" t="s">
        <v>48</v>
      </c>
      <c r="H3" s="3">
        <v>0</v>
      </c>
      <c r="I3" s="3">
        <v>4</v>
      </c>
      <c r="J3" s="4">
        <v>45203</v>
      </c>
      <c r="K3" s="3" t="s">
        <v>61</v>
      </c>
      <c r="L3" s="3" t="s">
        <v>64</v>
      </c>
    </row>
    <row r="4" spans="1:12" ht="15.75" x14ac:dyDescent="0.25">
      <c r="A4" s="2" t="s">
        <v>65</v>
      </c>
      <c r="B4" s="2" t="s">
        <v>12</v>
      </c>
      <c r="C4" s="3" t="s">
        <v>26</v>
      </c>
      <c r="D4" s="3" t="s">
        <v>30</v>
      </c>
      <c r="E4" s="3" t="s">
        <v>44</v>
      </c>
      <c r="F4" s="4">
        <v>43662</v>
      </c>
      <c r="G4" s="3" t="s">
        <v>46</v>
      </c>
      <c r="H4" s="3">
        <v>20</v>
      </c>
      <c r="I4" s="3">
        <v>10</v>
      </c>
      <c r="J4" s="4">
        <v>44400</v>
      </c>
      <c r="K4" s="3" t="s">
        <v>61</v>
      </c>
      <c r="L4" s="3" t="s">
        <v>66</v>
      </c>
    </row>
    <row r="5" spans="1:12" ht="15.75" x14ac:dyDescent="0.25">
      <c r="A5" s="2" t="s">
        <v>67</v>
      </c>
      <c r="B5" s="2" t="s">
        <v>2</v>
      </c>
      <c r="C5" s="3" t="s">
        <v>19</v>
      </c>
      <c r="D5" s="3" t="s">
        <v>32</v>
      </c>
      <c r="E5" s="3" t="s">
        <v>40</v>
      </c>
      <c r="F5" s="4">
        <v>43526</v>
      </c>
      <c r="G5" s="3" t="s">
        <v>47</v>
      </c>
      <c r="H5" s="3">
        <v>60</v>
      </c>
      <c r="I5" s="3">
        <v>3</v>
      </c>
      <c r="J5" s="4">
        <v>44782</v>
      </c>
      <c r="K5" s="3" t="s">
        <v>61</v>
      </c>
      <c r="L5" s="3" t="s">
        <v>68</v>
      </c>
    </row>
    <row r="6" spans="1:12" ht="15.75" x14ac:dyDescent="0.25">
      <c r="A6" s="2" t="s">
        <v>69</v>
      </c>
      <c r="B6" s="2" t="s">
        <v>1</v>
      </c>
      <c r="C6" s="3" t="s">
        <v>16</v>
      </c>
      <c r="D6" s="3" t="s">
        <v>30</v>
      </c>
      <c r="E6" s="3" t="s">
        <v>42</v>
      </c>
      <c r="F6" s="4">
        <v>45661</v>
      </c>
      <c r="G6" s="3" t="s">
        <v>48</v>
      </c>
      <c r="H6" s="3">
        <v>0</v>
      </c>
      <c r="I6" s="3">
        <v>9</v>
      </c>
      <c r="J6" s="4">
        <v>46177</v>
      </c>
      <c r="K6" s="3" t="s">
        <v>70</v>
      </c>
      <c r="L6" s="3" t="s">
        <v>71</v>
      </c>
    </row>
    <row r="7" spans="1:12" ht="15.75" x14ac:dyDescent="0.25">
      <c r="A7" s="2" t="s">
        <v>72</v>
      </c>
      <c r="B7" s="2" t="s">
        <v>8</v>
      </c>
      <c r="C7" s="3" t="s">
        <v>20</v>
      </c>
      <c r="D7" s="3" t="s">
        <v>34</v>
      </c>
      <c r="E7" s="3" t="s">
        <v>43</v>
      </c>
      <c r="F7" s="4">
        <v>44961</v>
      </c>
      <c r="G7" s="3" t="s">
        <v>46</v>
      </c>
      <c r="H7" s="3">
        <v>100</v>
      </c>
      <c r="I7" s="3">
        <v>12</v>
      </c>
      <c r="J7" s="4">
        <v>45743</v>
      </c>
      <c r="K7" s="3" t="s">
        <v>61</v>
      </c>
      <c r="L7" s="3" t="s">
        <v>73</v>
      </c>
    </row>
    <row r="8" spans="1:12" ht="15.75" x14ac:dyDescent="0.25">
      <c r="A8" s="2" t="s">
        <v>74</v>
      </c>
      <c r="B8" s="2" t="s">
        <v>3</v>
      </c>
      <c r="C8" s="3" t="s">
        <v>18</v>
      </c>
      <c r="D8" s="3" t="s">
        <v>30</v>
      </c>
      <c r="E8" s="3" t="s">
        <v>38</v>
      </c>
      <c r="F8" s="4">
        <v>45013</v>
      </c>
      <c r="G8" s="3" t="s">
        <v>46</v>
      </c>
      <c r="H8" s="3">
        <v>20</v>
      </c>
      <c r="I8" s="3">
        <v>7</v>
      </c>
      <c r="J8" s="4">
        <v>45131</v>
      </c>
      <c r="K8" s="3" t="s">
        <v>61</v>
      </c>
      <c r="L8" s="3" t="s">
        <v>75</v>
      </c>
    </row>
    <row r="9" spans="1:12" ht="15.75" x14ac:dyDescent="0.25">
      <c r="A9" s="2" t="s">
        <v>76</v>
      </c>
      <c r="B9" s="2" t="s">
        <v>5</v>
      </c>
      <c r="C9" s="3" t="s">
        <v>22</v>
      </c>
      <c r="D9" s="3" t="s">
        <v>33</v>
      </c>
      <c r="E9" s="3" t="s">
        <v>40</v>
      </c>
      <c r="F9" s="4">
        <v>42842</v>
      </c>
      <c r="G9" s="3" t="s">
        <v>47</v>
      </c>
      <c r="H9" s="3">
        <v>80</v>
      </c>
      <c r="I9" s="3">
        <v>7</v>
      </c>
      <c r="J9" s="4">
        <v>44243</v>
      </c>
      <c r="K9" s="3" t="s">
        <v>61</v>
      </c>
      <c r="L9" s="3" t="s">
        <v>77</v>
      </c>
    </row>
    <row r="10" spans="1:12" ht="15.75" x14ac:dyDescent="0.25">
      <c r="A10" s="2" t="s">
        <v>78</v>
      </c>
      <c r="B10" s="2" t="s">
        <v>4</v>
      </c>
      <c r="C10" s="3" t="s">
        <v>27</v>
      </c>
      <c r="D10" s="3" t="s">
        <v>33</v>
      </c>
      <c r="E10" s="3" t="s">
        <v>38</v>
      </c>
      <c r="F10" s="4">
        <v>43779</v>
      </c>
      <c r="G10" s="3" t="s">
        <v>46</v>
      </c>
      <c r="H10" s="3">
        <v>80</v>
      </c>
      <c r="I10" s="3">
        <v>11</v>
      </c>
      <c r="J10" s="4">
        <v>44100</v>
      </c>
      <c r="K10" s="3" t="s">
        <v>61</v>
      </c>
      <c r="L10" s="3" t="s">
        <v>79</v>
      </c>
    </row>
    <row r="11" spans="1:12" ht="15.75" x14ac:dyDescent="0.25">
      <c r="A11" s="2" t="s">
        <v>80</v>
      </c>
      <c r="B11" s="2" t="s">
        <v>10</v>
      </c>
      <c r="C11" s="3" t="s">
        <v>22</v>
      </c>
      <c r="D11" s="3" t="s">
        <v>30</v>
      </c>
      <c r="E11" s="3" t="s">
        <v>37</v>
      </c>
      <c r="F11" s="4">
        <v>44576</v>
      </c>
      <c r="G11" s="3" t="s">
        <v>46</v>
      </c>
      <c r="H11" s="3">
        <v>20</v>
      </c>
      <c r="I11" s="3">
        <v>11</v>
      </c>
      <c r="J11" s="4">
        <v>45481</v>
      </c>
      <c r="K11" s="3" t="s">
        <v>61</v>
      </c>
      <c r="L11" s="3" t="s">
        <v>81</v>
      </c>
    </row>
    <row r="12" spans="1:12" ht="15.75" x14ac:dyDescent="0.25">
      <c r="A12" s="2" t="s">
        <v>82</v>
      </c>
      <c r="B12" s="2" t="s">
        <v>3</v>
      </c>
      <c r="C12" s="3" t="s">
        <v>16</v>
      </c>
      <c r="D12" s="3" t="s">
        <v>34</v>
      </c>
      <c r="E12" s="3" t="s">
        <v>38</v>
      </c>
      <c r="F12" s="4">
        <v>43800</v>
      </c>
      <c r="G12" s="3" t="s">
        <v>46</v>
      </c>
      <c r="H12" s="3">
        <v>100</v>
      </c>
      <c r="I12" s="3">
        <v>8</v>
      </c>
      <c r="J12" s="4">
        <v>44502</v>
      </c>
      <c r="K12" s="3" t="s">
        <v>61</v>
      </c>
      <c r="L12" s="3" t="s">
        <v>83</v>
      </c>
    </row>
    <row r="13" spans="1:12" ht="15.75" x14ac:dyDescent="0.25">
      <c r="A13" s="2" t="s">
        <v>84</v>
      </c>
      <c r="B13" s="2" t="s">
        <v>11</v>
      </c>
      <c r="C13" s="3" t="s">
        <v>25</v>
      </c>
      <c r="D13" s="3" t="s">
        <v>33</v>
      </c>
      <c r="E13" s="3" t="s">
        <v>44</v>
      </c>
      <c r="F13" s="4">
        <v>43785</v>
      </c>
      <c r="G13" s="3" t="s">
        <v>46</v>
      </c>
      <c r="H13" s="3">
        <v>80</v>
      </c>
      <c r="I13" s="3">
        <v>1</v>
      </c>
      <c r="J13" s="4">
        <v>44440</v>
      </c>
      <c r="K13" s="3" t="s">
        <v>61</v>
      </c>
      <c r="L13" s="3" t="s">
        <v>85</v>
      </c>
    </row>
    <row r="14" spans="1:12" ht="15.75" x14ac:dyDescent="0.25">
      <c r="A14" s="2" t="s">
        <v>86</v>
      </c>
      <c r="B14" s="2" t="s">
        <v>9</v>
      </c>
      <c r="C14" s="3" t="s">
        <v>22</v>
      </c>
      <c r="D14" s="3" t="s">
        <v>34</v>
      </c>
      <c r="E14" s="3" t="s">
        <v>38</v>
      </c>
      <c r="F14" s="4">
        <v>43815</v>
      </c>
      <c r="G14" s="3" t="s">
        <v>48</v>
      </c>
      <c r="H14" s="3">
        <v>0</v>
      </c>
      <c r="I14" s="3">
        <v>7</v>
      </c>
      <c r="J14" s="4">
        <v>43909</v>
      </c>
      <c r="K14" s="3" t="s">
        <v>61</v>
      </c>
      <c r="L14" s="3" t="s">
        <v>87</v>
      </c>
    </row>
    <row r="15" spans="1:12" ht="15.75" x14ac:dyDescent="0.25">
      <c r="A15" s="2" t="s">
        <v>88</v>
      </c>
      <c r="B15" s="2" t="s">
        <v>13</v>
      </c>
      <c r="C15" s="3" t="s">
        <v>26</v>
      </c>
      <c r="D15" s="3" t="s">
        <v>29</v>
      </c>
      <c r="E15" s="3" t="s">
        <v>37</v>
      </c>
      <c r="F15" s="4">
        <v>43595</v>
      </c>
      <c r="G15" s="3" t="s">
        <v>46</v>
      </c>
      <c r="H15" s="3">
        <v>15</v>
      </c>
      <c r="I15" s="3">
        <v>5</v>
      </c>
      <c r="J15" s="4">
        <v>45009</v>
      </c>
      <c r="K15" s="3" t="s">
        <v>61</v>
      </c>
      <c r="L15" s="3" t="s">
        <v>89</v>
      </c>
    </row>
    <row r="16" spans="1:12" ht="15.75" x14ac:dyDescent="0.25">
      <c r="A16" s="2" t="s">
        <v>90</v>
      </c>
      <c r="B16" s="2" t="s">
        <v>12</v>
      </c>
      <c r="C16" s="3" t="s">
        <v>18</v>
      </c>
      <c r="D16" s="3" t="s">
        <v>30</v>
      </c>
      <c r="E16" s="3" t="s">
        <v>43</v>
      </c>
      <c r="F16" s="4">
        <v>42631</v>
      </c>
      <c r="G16" s="3" t="s">
        <v>47</v>
      </c>
      <c r="H16" s="3">
        <v>20</v>
      </c>
      <c r="I16" s="3">
        <v>8</v>
      </c>
      <c r="J16" s="4">
        <v>43671</v>
      </c>
      <c r="K16" s="3" t="s">
        <v>61</v>
      </c>
      <c r="L16" s="3" t="s">
        <v>91</v>
      </c>
    </row>
    <row r="17" spans="1:12" ht="15.75" x14ac:dyDescent="0.25">
      <c r="A17" s="2" t="s">
        <v>92</v>
      </c>
      <c r="B17" s="2" t="s">
        <v>9</v>
      </c>
      <c r="C17" s="3" t="s">
        <v>25</v>
      </c>
      <c r="D17" s="3" t="s">
        <v>33</v>
      </c>
      <c r="E17" s="3" t="s">
        <v>38</v>
      </c>
      <c r="F17" s="4">
        <v>42556</v>
      </c>
      <c r="G17" s="3" t="s">
        <v>46</v>
      </c>
      <c r="H17" s="3">
        <v>80</v>
      </c>
      <c r="I17" s="3">
        <v>2</v>
      </c>
      <c r="J17" s="4">
        <v>43156</v>
      </c>
      <c r="K17" s="3" t="s">
        <v>61</v>
      </c>
      <c r="L17" s="3" t="s">
        <v>93</v>
      </c>
    </row>
    <row r="18" spans="1:12" ht="15.75" x14ac:dyDescent="0.25">
      <c r="A18" s="2" t="s">
        <v>94</v>
      </c>
      <c r="B18" s="2" t="s">
        <v>5</v>
      </c>
      <c r="C18" s="3" t="s">
        <v>27</v>
      </c>
      <c r="D18" s="3" t="s">
        <v>34</v>
      </c>
      <c r="E18" s="3" t="s">
        <v>39</v>
      </c>
      <c r="F18" s="4">
        <v>45266</v>
      </c>
      <c r="G18" s="3" t="s">
        <v>46</v>
      </c>
      <c r="H18" s="3">
        <v>100</v>
      </c>
      <c r="I18" s="3">
        <v>0</v>
      </c>
      <c r="J18" s="4">
        <v>46298</v>
      </c>
      <c r="K18" s="3" t="s">
        <v>70</v>
      </c>
      <c r="L18" s="3" t="s">
        <v>95</v>
      </c>
    </row>
    <row r="19" spans="1:12" ht="15.75" x14ac:dyDescent="0.25">
      <c r="A19" s="2" t="s">
        <v>96</v>
      </c>
      <c r="B19" s="2" t="s">
        <v>2</v>
      </c>
      <c r="C19" s="3" t="s">
        <v>25</v>
      </c>
      <c r="D19" s="3" t="s">
        <v>32</v>
      </c>
      <c r="E19" s="3" t="s">
        <v>41</v>
      </c>
      <c r="F19" s="4">
        <v>44646</v>
      </c>
      <c r="G19" s="3" t="s">
        <v>46</v>
      </c>
      <c r="H19" s="3">
        <v>60</v>
      </c>
      <c r="I19" s="3">
        <v>4</v>
      </c>
      <c r="J19" s="4">
        <v>45021</v>
      </c>
      <c r="K19" s="3" t="s">
        <v>61</v>
      </c>
      <c r="L19" s="3" t="s">
        <v>97</v>
      </c>
    </row>
    <row r="20" spans="1:12" ht="15.75" x14ac:dyDescent="0.25">
      <c r="A20" s="2" t="s">
        <v>98</v>
      </c>
      <c r="B20" s="2" t="s">
        <v>9</v>
      </c>
      <c r="C20" s="3" t="s">
        <v>19</v>
      </c>
      <c r="D20" s="3" t="s">
        <v>32</v>
      </c>
      <c r="E20" s="3" t="s">
        <v>40</v>
      </c>
      <c r="F20" s="4">
        <v>42513</v>
      </c>
      <c r="G20" s="3" t="s">
        <v>46</v>
      </c>
      <c r="H20" s="3">
        <v>60</v>
      </c>
      <c r="I20" s="3">
        <v>0</v>
      </c>
      <c r="J20" s="4">
        <v>43093</v>
      </c>
      <c r="K20" s="3" t="s">
        <v>61</v>
      </c>
      <c r="L20" s="3" t="s">
        <v>99</v>
      </c>
    </row>
    <row r="21" spans="1:12" ht="15.75" x14ac:dyDescent="0.25">
      <c r="A21" s="2" t="s">
        <v>100</v>
      </c>
      <c r="B21" s="2" t="s">
        <v>13</v>
      </c>
      <c r="C21" s="3" t="s">
        <v>24</v>
      </c>
      <c r="D21" s="3" t="s">
        <v>33</v>
      </c>
      <c r="E21" s="3" t="s">
        <v>38</v>
      </c>
      <c r="F21" s="4">
        <v>44423</v>
      </c>
      <c r="G21" s="3" t="s">
        <v>48</v>
      </c>
      <c r="H21" s="3">
        <v>0</v>
      </c>
      <c r="I21" s="3">
        <v>3</v>
      </c>
      <c r="J21" s="4">
        <v>45365</v>
      </c>
      <c r="K21" s="3" t="s">
        <v>61</v>
      </c>
      <c r="L21" s="3" t="s">
        <v>101</v>
      </c>
    </row>
    <row r="22" spans="1:12" ht="15.75" x14ac:dyDescent="0.25">
      <c r="A22" s="2" t="s">
        <v>102</v>
      </c>
      <c r="B22" s="2" t="s">
        <v>10</v>
      </c>
      <c r="C22" s="3" t="s">
        <v>22</v>
      </c>
      <c r="D22" s="3" t="s">
        <v>32</v>
      </c>
      <c r="E22" s="3" t="s">
        <v>40</v>
      </c>
      <c r="F22" s="4">
        <v>42849</v>
      </c>
      <c r="G22" s="3" t="s">
        <v>46</v>
      </c>
      <c r="H22" s="3">
        <v>60</v>
      </c>
      <c r="I22" s="3">
        <v>0</v>
      </c>
      <c r="J22" s="4">
        <v>44583</v>
      </c>
      <c r="K22" s="3" t="s">
        <v>61</v>
      </c>
      <c r="L22" s="3" t="s">
        <v>81</v>
      </c>
    </row>
    <row r="23" spans="1:12" ht="15.75" x14ac:dyDescent="0.25">
      <c r="A23" s="2" t="s">
        <v>103</v>
      </c>
      <c r="B23" s="2" t="s">
        <v>12</v>
      </c>
      <c r="C23" s="3" t="s">
        <v>27</v>
      </c>
      <c r="D23" s="3" t="s">
        <v>32</v>
      </c>
      <c r="E23" s="3" t="s">
        <v>40</v>
      </c>
      <c r="F23" s="4">
        <v>43731</v>
      </c>
      <c r="G23" s="3" t="s">
        <v>47</v>
      </c>
      <c r="H23" s="3">
        <v>60</v>
      </c>
      <c r="I23" s="3">
        <v>9</v>
      </c>
      <c r="J23" s="4">
        <v>44472</v>
      </c>
      <c r="K23" s="3" t="s">
        <v>61</v>
      </c>
      <c r="L23" s="3" t="s">
        <v>104</v>
      </c>
    </row>
    <row r="24" spans="1:12" ht="15.75" x14ac:dyDescent="0.25">
      <c r="A24" s="2" t="s">
        <v>105</v>
      </c>
      <c r="B24" s="2" t="s">
        <v>5</v>
      </c>
      <c r="C24" s="3" t="s">
        <v>22</v>
      </c>
      <c r="D24" s="3" t="s">
        <v>31</v>
      </c>
      <c r="E24" s="3" t="s">
        <v>37</v>
      </c>
      <c r="F24" s="4">
        <v>44918</v>
      </c>
      <c r="G24" s="3" t="s">
        <v>46</v>
      </c>
      <c r="H24" s="3">
        <v>40</v>
      </c>
      <c r="I24" s="3">
        <v>6</v>
      </c>
      <c r="J24" s="4">
        <v>46173</v>
      </c>
      <c r="K24" s="3" t="s">
        <v>70</v>
      </c>
      <c r="L24" s="3" t="s">
        <v>77</v>
      </c>
    </row>
    <row r="25" spans="1:12" ht="15.75" x14ac:dyDescent="0.25">
      <c r="A25" s="2" t="s">
        <v>106</v>
      </c>
      <c r="B25" s="2" t="s">
        <v>1</v>
      </c>
      <c r="C25" s="3" t="s">
        <v>10</v>
      </c>
      <c r="D25" s="3" t="s">
        <v>34</v>
      </c>
      <c r="E25" s="3" t="s">
        <v>40</v>
      </c>
      <c r="F25" s="4">
        <v>45696</v>
      </c>
      <c r="G25" s="3" t="s">
        <v>46</v>
      </c>
      <c r="H25" s="3">
        <v>100</v>
      </c>
      <c r="I25" s="3">
        <v>6</v>
      </c>
      <c r="J25" s="4">
        <v>46298</v>
      </c>
      <c r="K25" s="3" t="s">
        <v>70</v>
      </c>
      <c r="L25" s="3" t="s">
        <v>107</v>
      </c>
    </row>
    <row r="26" spans="1:12" ht="15.75" x14ac:dyDescent="0.25">
      <c r="A26" s="2" t="s">
        <v>108</v>
      </c>
      <c r="B26" s="2" t="s">
        <v>14</v>
      </c>
      <c r="C26" s="3" t="s">
        <v>17</v>
      </c>
      <c r="D26" s="3" t="s">
        <v>31</v>
      </c>
      <c r="E26" s="3" t="s">
        <v>37</v>
      </c>
      <c r="F26" s="4">
        <v>45712</v>
      </c>
      <c r="G26" s="3" t="s">
        <v>46</v>
      </c>
      <c r="H26" s="3">
        <v>40</v>
      </c>
      <c r="I26" s="3">
        <v>9</v>
      </c>
      <c r="J26" s="4">
        <v>46298</v>
      </c>
      <c r="K26" s="3" t="s">
        <v>70</v>
      </c>
      <c r="L26" s="3" t="s">
        <v>109</v>
      </c>
    </row>
    <row r="27" spans="1:12" ht="15.75" x14ac:dyDescent="0.25">
      <c r="A27" s="2" t="s">
        <v>110</v>
      </c>
      <c r="B27" s="2" t="s">
        <v>13</v>
      </c>
      <c r="C27" s="3" t="s">
        <v>19</v>
      </c>
      <c r="D27" s="3" t="s">
        <v>34</v>
      </c>
      <c r="E27" s="3" t="s">
        <v>39</v>
      </c>
      <c r="F27" s="4">
        <v>42788</v>
      </c>
      <c r="G27" s="3" t="s">
        <v>47</v>
      </c>
      <c r="H27" s="3">
        <v>100</v>
      </c>
      <c r="I27" s="3">
        <v>5</v>
      </c>
      <c r="J27" s="4">
        <v>43472</v>
      </c>
      <c r="K27" s="3" t="s">
        <v>61</v>
      </c>
      <c r="L27" s="3" t="s">
        <v>111</v>
      </c>
    </row>
    <row r="28" spans="1:12" ht="15.75" x14ac:dyDescent="0.25">
      <c r="A28" s="2" t="s">
        <v>112</v>
      </c>
      <c r="B28" s="2" t="s">
        <v>2</v>
      </c>
      <c r="C28" s="3" t="s">
        <v>18</v>
      </c>
      <c r="D28" s="3" t="s">
        <v>33</v>
      </c>
      <c r="E28" s="3" t="s">
        <v>41</v>
      </c>
      <c r="F28" s="4">
        <v>43318</v>
      </c>
      <c r="G28" s="3" t="s">
        <v>46</v>
      </c>
      <c r="H28" s="3">
        <v>80</v>
      </c>
      <c r="I28" s="3">
        <v>1</v>
      </c>
      <c r="J28" s="4">
        <v>44927</v>
      </c>
      <c r="K28" s="3" t="s">
        <v>61</v>
      </c>
      <c r="L28" s="3" t="s">
        <v>113</v>
      </c>
    </row>
    <row r="29" spans="1:12" ht="15.75" x14ac:dyDescent="0.25">
      <c r="A29" s="2" t="s">
        <v>114</v>
      </c>
      <c r="B29" s="2" t="s">
        <v>7</v>
      </c>
      <c r="C29" s="3" t="s">
        <v>15</v>
      </c>
      <c r="D29" s="3" t="s">
        <v>32</v>
      </c>
      <c r="E29" s="3" t="s">
        <v>37</v>
      </c>
      <c r="F29" s="4">
        <v>44039</v>
      </c>
      <c r="G29" s="3" t="s">
        <v>46</v>
      </c>
      <c r="H29" s="3">
        <v>60</v>
      </c>
      <c r="I29" s="3">
        <v>11</v>
      </c>
      <c r="J29" s="4">
        <v>44605</v>
      </c>
      <c r="K29" s="3" t="s">
        <v>61</v>
      </c>
      <c r="L29" s="3" t="s">
        <v>115</v>
      </c>
    </row>
    <row r="30" spans="1:12" ht="15.75" x14ac:dyDescent="0.25">
      <c r="A30" s="2" t="s">
        <v>116</v>
      </c>
      <c r="B30" s="2" t="s">
        <v>6</v>
      </c>
      <c r="C30" s="3" t="s">
        <v>24</v>
      </c>
      <c r="D30" s="3" t="s">
        <v>33</v>
      </c>
      <c r="E30" s="3" t="s">
        <v>39</v>
      </c>
      <c r="F30" s="4">
        <v>45073</v>
      </c>
      <c r="G30" s="3" t="s">
        <v>46</v>
      </c>
      <c r="H30" s="3">
        <v>80</v>
      </c>
      <c r="I30" s="3">
        <v>6</v>
      </c>
      <c r="J30" s="4">
        <v>45135</v>
      </c>
      <c r="K30" s="3" t="s">
        <v>61</v>
      </c>
      <c r="L30" s="3" t="s">
        <v>117</v>
      </c>
    </row>
    <row r="31" spans="1:12" ht="15.75" x14ac:dyDescent="0.25">
      <c r="A31" s="2" t="s">
        <v>118</v>
      </c>
      <c r="B31" s="2" t="s">
        <v>13</v>
      </c>
      <c r="C31" s="3" t="s">
        <v>10</v>
      </c>
      <c r="D31" s="3" t="s">
        <v>30</v>
      </c>
      <c r="E31" s="3" t="s">
        <v>40</v>
      </c>
      <c r="F31" s="4">
        <v>44540</v>
      </c>
      <c r="G31" s="3" t="s">
        <v>46</v>
      </c>
      <c r="H31" s="3">
        <v>20</v>
      </c>
      <c r="I31" s="3">
        <v>5</v>
      </c>
      <c r="J31" s="4">
        <v>45443</v>
      </c>
      <c r="K31" s="3" t="s">
        <v>61</v>
      </c>
      <c r="L31" s="3" t="s">
        <v>119</v>
      </c>
    </row>
    <row r="32" spans="1:12" ht="15.75" x14ac:dyDescent="0.25">
      <c r="A32" s="2" t="s">
        <v>120</v>
      </c>
      <c r="B32" s="2" t="s">
        <v>6</v>
      </c>
      <c r="C32" s="3" t="s">
        <v>19</v>
      </c>
      <c r="D32" s="3" t="s">
        <v>30</v>
      </c>
      <c r="E32" s="3" t="s">
        <v>44</v>
      </c>
      <c r="F32" s="4">
        <v>43195</v>
      </c>
      <c r="G32" s="3" t="s">
        <v>46</v>
      </c>
      <c r="H32" s="3">
        <v>20</v>
      </c>
      <c r="I32" s="3">
        <v>10</v>
      </c>
      <c r="J32" s="4">
        <v>44336</v>
      </c>
      <c r="K32" s="3" t="s">
        <v>61</v>
      </c>
      <c r="L32" s="3" t="s">
        <v>121</v>
      </c>
    </row>
    <row r="33" spans="1:12" ht="15.75" x14ac:dyDescent="0.25">
      <c r="A33" s="2" t="s">
        <v>122</v>
      </c>
      <c r="B33" s="2" t="s">
        <v>6</v>
      </c>
      <c r="C33" s="3" t="s">
        <v>17</v>
      </c>
      <c r="D33" s="3" t="s">
        <v>34</v>
      </c>
      <c r="E33" s="3" t="s">
        <v>40</v>
      </c>
      <c r="F33" s="4">
        <v>42377</v>
      </c>
      <c r="G33" s="3" t="s">
        <v>46</v>
      </c>
      <c r="H33" s="3">
        <v>100</v>
      </c>
      <c r="I33" s="3">
        <v>8</v>
      </c>
      <c r="J33" s="4">
        <v>42665</v>
      </c>
      <c r="K33" s="3" t="s">
        <v>61</v>
      </c>
      <c r="L33" s="3" t="s">
        <v>123</v>
      </c>
    </row>
    <row r="34" spans="1:12" ht="15.75" x14ac:dyDescent="0.25">
      <c r="A34" s="2" t="s">
        <v>124</v>
      </c>
      <c r="B34" s="2" t="s">
        <v>14</v>
      </c>
      <c r="C34" s="3" t="s">
        <v>17</v>
      </c>
      <c r="D34" s="3" t="s">
        <v>33</v>
      </c>
      <c r="E34" s="3" t="s">
        <v>40</v>
      </c>
      <c r="F34" s="4">
        <v>45751</v>
      </c>
      <c r="G34" s="3" t="s">
        <v>46</v>
      </c>
      <c r="H34" s="3">
        <v>80</v>
      </c>
      <c r="I34" s="3">
        <v>12</v>
      </c>
      <c r="J34" s="4">
        <v>46236</v>
      </c>
      <c r="K34" s="3" t="s">
        <v>70</v>
      </c>
      <c r="L34" s="3" t="s">
        <v>109</v>
      </c>
    </row>
    <row r="35" spans="1:12" ht="15.75" x14ac:dyDescent="0.25">
      <c r="A35" s="2" t="s">
        <v>125</v>
      </c>
      <c r="B35" s="2" t="s">
        <v>8</v>
      </c>
      <c r="C35" s="3" t="s">
        <v>23</v>
      </c>
      <c r="D35" s="3" t="s">
        <v>30</v>
      </c>
      <c r="E35" s="3" t="s">
        <v>39</v>
      </c>
      <c r="F35" s="4">
        <v>45611</v>
      </c>
      <c r="G35" s="3" t="s">
        <v>46</v>
      </c>
      <c r="H35" s="3">
        <v>20</v>
      </c>
      <c r="I35" s="3">
        <v>0</v>
      </c>
      <c r="J35" s="4">
        <v>46298</v>
      </c>
      <c r="K35" s="3" t="s">
        <v>70</v>
      </c>
      <c r="L35" s="3" t="s">
        <v>126</v>
      </c>
    </row>
    <row r="36" spans="1:12" ht="15.75" x14ac:dyDescent="0.25">
      <c r="A36" s="2" t="s">
        <v>127</v>
      </c>
      <c r="B36" s="2" t="s">
        <v>13</v>
      </c>
      <c r="C36" s="3" t="s">
        <v>18</v>
      </c>
      <c r="D36" s="3" t="s">
        <v>32</v>
      </c>
      <c r="E36" s="3" t="s">
        <v>43</v>
      </c>
      <c r="F36" s="4">
        <v>45665</v>
      </c>
      <c r="G36" s="3" t="s">
        <v>46</v>
      </c>
      <c r="H36" s="3">
        <v>60</v>
      </c>
      <c r="I36" s="3">
        <v>3</v>
      </c>
      <c r="J36" s="4">
        <v>46218</v>
      </c>
      <c r="K36" s="3" t="s">
        <v>70</v>
      </c>
      <c r="L36" s="3" t="s">
        <v>128</v>
      </c>
    </row>
    <row r="37" spans="1:12" ht="15.75" x14ac:dyDescent="0.25">
      <c r="A37" s="2" t="s">
        <v>129</v>
      </c>
      <c r="B37" s="2" t="s">
        <v>2</v>
      </c>
      <c r="C37" s="3" t="s">
        <v>19</v>
      </c>
      <c r="D37" s="3" t="s">
        <v>31</v>
      </c>
      <c r="E37" s="3" t="s">
        <v>37</v>
      </c>
      <c r="F37" s="4">
        <v>43688</v>
      </c>
      <c r="G37" s="3" t="s">
        <v>46</v>
      </c>
      <c r="H37" s="3">
        <v>40</v>
      </c>
      <c r="I37" s="3">
        <v>11</v>
      </c>
      <c r="J37" s="4">
        <v>45365</v>
      </c>
      <c r="K37" s="3" t="s">
        <v>61</v>
      </c>
      <c r="L37" s="3" t="s">
        <v>68</v>
      </c>
    </row>
    <row r="38" spans="1:12" ht="15.75" x14ac:dyDescent="0.25">
      <c r="A38" s="2" t="s">
        <v>130</v>
      </c>
      <c r="B38" s="2" t="s">
        <v>7</v>
      </c>
      <c r="C38" s="3" t="s">
        <v>26</v>
      </c>
      <c r="D38" s="3" t="s">
        <v>32</v>
      </c>
      <c r="E38" s="3" t="s">
        <v>38</v>
      </c>
      <c r="F38" s="4">
        <v>42709</v>
      </c>
      <c r="G38" s="3" t="s">
        <v>48</v>
      </c>
      <c r="H38" s="3">
        <v>0</v>
      </c>
      <c r="I38" s="3">
        <v>7</v>
      </c>
      <c r="J38" s="4">
        <v>44048</v>
      </c>
      <c r="K38" s="3" t="s">
        <v>61</v>
      </c>
      <c r="L38" s="3" t="s">
        <v>131</v>
      </c>
    </row>
    <row r="39" spans="1:12" ht="15.75" x14ac:dyDescent="0.25">
      <c r="A39" s="2" t="s">
        <v>132</v>
      </c>
      <c r="B39" s="2" t="s">
        <v>8</v>
      </c>
      <c r="C39" s="3" t="s">
        <v>18</v>
      </c>
      <c r="D39" s="3" t="s">
        <v>33</v>
      </c>
      <c r="E39" s="3" t="s">
        <v>44</v>
      </c>
      <c r="F39" s="4">
        <v>45115</v>
      </c>
      <c r="G39" s="3" t="s">
        <v>46</v>
      </c>
      <c r="H39" s="3">
        <v>80</v>
      </c>
      <c r="I39" s="3">
        <v>9</v>
      </c>
      <c r="J39" s="4">
        <v>45995</v>
      </c>
      <c r="K39" s="3" t="s">
        <v>70</v>
      </c>
      <c r="L39" s="3" t="s">
        <v>133</v>
      </c>
    </row>
    <row r="40" spans="1:12" ht="15.75" x14ac:dyDescent="0.25">
      <c r="A40" s="2" t="s">
        <v>134</v>
      </c>
      <c r="B40" s="2" t="s">
        <v>13</v>
      </c>
      <c r="C40" s="3" t="s">
        <v>19</v>
      </c>
      <c r="D40" s="3" t="s">
        <v>32</v>
      </c>
      <c r="E40" s="3" t="s">
        <v>42</v>
      </c>
      <c r="F40" s="4">
        <v>44715</v>
      </c>
      <c r="G40" s="3" t="s">
        <v>46</v>
      </c>
      <c r="H40" s="3">
        <v>60</v>
      </c>
      <c r="I40" s="3">
        <v>11</v>
      </c>
      <c r="J40" s="4">
        <v>45531</v>
      </c>
      <c r="K40" s="3" t="s">
        <v>61</v>
      </c>
      <c r="L40" s="3" t="s">
        <v>111</v>
      </c>
    </row>
    <row r="41" spans="1:12" ht="15.75" x14ac:dyDescent="0.25">
      <c r="A41" s="2" t="s">
        <v>135</v>
      </c>
      <c r="B41" s="2" t="s">
        <v>11</v>
      </c>
      <c r="C41" s="3" t="s">
        <v>20</v>
      </c>
      <c r="D41" s="3" t="s">
        <v>30</v>
      </c>
      <c r="E41" s="3" t="s">
        <v>40</v>
      </c>
      <c r="F41" s="4">
        <v>42626</v>
      </c>
      <c r="G41" s="3" t="s">
        <v>48</v>
      </c>
      <c r="H41" s="3">
        <v>0</v>
      </c>
      <c r="I41" s="3">
        <v>12</v>
      </c>
      <c r="J41" s="4">
        <v>43054</v>
      </c>
      <c r="K41" s="3" t="s">
        <v>61</v>
      </c>
      <c r="L41" s="3" t="s">
        <v>136</v>
      </c>
    </row>
    <row r="42" spans="1:12" ht="15.75" x14ac:dyDescent="0.25">
      <c r="A42" s="2" t="s">
        <v>137</v>
      </c>
      <c r="B42" s="2" t="s">
        <v>0</v>
      </c>
      <c r="C42" s="3" t="s">
        <v>21</v>
      </c>
      <c r="D42" s="3" t="s">
        <v>34</v>
      </c>
      <c r="E42" s="3" t="s">
        <v>44</v>
      </c>
      <c r="F42" s="4">
        <v>43671</v>
      </c>
      <c r="G42" s="3" t="s">
        <v>46</v>
      </c>
      <c r="H42" s="3">
        <v>100</v>
      </c>
      <c r="I42" s="3">
        <v>2</v>
      </c>
      <c r="J42" s="4">
        <v>44673</v>
      </c>
      <c r="K42" s="3" t="s">
        <v>61</v>
      </c>
      <c r="L42" s="3" t="s">
        <v>138</v>
      </c>
    </row>
    <row r="43" spans="1:12" ht="15.75" x14ac:dyDescent="0.25">
      <c r="A43" s="2" t="s">
        <v>139</v>
      </c>
      <c r="B43" s="2" t="s">
        <v>0</v>
      </c>
      <c r="C43" s="3" t="s">
        <v>10</v>
      </c>
      <c r="D43" s="3" t="s">
        <v>29</v>
      </c>
      <c r="E43" s="3" t="s">
        <v>42</v>
      </c>
      <c r="F43" s="4">
        <v>42767</v>
      </c>
      <c r="G43" s="3" t="s">
        <v>46</v>
      </c>
      <c r="H43" s="3">
        <v>15</v>
      </c>
      <c r="I43" s="3">
        <v>4</v>
      </c>
      <c r="J43" s="4">
        <v>44373</v>
      </c>
      <c r="K43" s="3" t="s">
        <v>61</v>
      </c>
      <c r="L43" s="3" t="s">
        <v>140</v>
      </c>
    </row>
    <row r="44" spans="1:12" ht="15.75" x14ac:dyDescent="0.25">
      <c r="A44" s="2" t="s">
        <v>141</v>
      </c>
      <c r="B44" s="2" t="s">
        <v>1</v>
      </c>
      <c r="C44" s="3" t="s">
        <v>23</v>
      </c>
      <c r="D44" s="3" t="s">
        <v>30</v>
      </c>
      <c r="E44" s="3" t="s">
        <v>41</v>
      </c>
      <c r="F44" s="4">
        <v>45732</v>
      </c>
      <c r="G44" s="3" t="s">
        <v>46</v>
      </c>
      <c r="H44" s="3">
        <v>20</v>
      </c>
      <c r="I44" s="3">
        <v>10</v>
      </c>
      <c r="J44" s="4">
        <v>46298</v>
      </c>
      <c r="K44" s="3" t="s">
        <v>70</v>
      </c>
      <c r="L44" s="3" t="s">
        <v>142</v>
      </c>
    </row>
    <row r="45" spans="1:12" ht="15.75" x14ac:dyDescent="0.25">
      <c r="A45" s="2" t="s">
        <v>143</v>
      </c>
      <c r="B45" s="2" t="s">
        <v>1</v>
      </c>
      <c r="C45" s="3" t="s">
        <v>23</v>
      </c>
      <c r="D45" s="3" t="s">
        <v>30</v>
      </c>
      <c r="E45" s="3" t="s">
        <v>41</v>
      </c>
      <c r="F45" s="4">
        <v>44327</v>
      </c>
      <c r="G45" s="3" t="s">
        <v>46</v>
      </c>
      <c r="H45" s="3">
        <v>20</v>
      </c>
      <c r="I45" s="3">
        <v>3</v>
      </c>
      <c r="J45" s="4">
        <v>45084</v>
      </c>
      <c r="K45" s="3" t="s">
        <v>61</v>
      </c>
      <c r="L45" s="3" t="s">
        <v>142</v>
      </c>
    </row>
    <row r="46" spans="1:12" ht="15.75" x14ac:dyDescent="0.25">
      <c r="A46" s="2" t="s">
        <v>144</v>
      </c>
      <c r="B46" s="2" t="s">
        <v>11</v>
      </c>
      <c r="C46" s="3" t="s">
        <v>20</v>
      </c>
      <c r="D46" s="3" t="s">
        <v>32</v>
      </c>
      <c r="E46" s="3" t="s">
        <v>43</v>
      </c>
      <c r="F46" s="4">
        <v>42710</v>
      </c>
      <c r="G46" s="3" t="s">
        <v>46</v>
      </c>
      <c r="H46" s="3">
        <v>60</v>
      </c>
      <c r="I46" s="3">
        <v>4</v>
      </c>
      <c r="J46" s="4">
        <v>43591</v>
      </c>
      <c r="K46" s="3" t="s">
        <v>61</v>
      </c>
      <c r="L46" s="3" t="s">
        <v>136</v>
      </c>
    </row>
    <row r="47" spans="1:12" ht="15.75" x14ac:dyDescent="0.25">
      <c r="A47" s="2" t="s">
        <v>145</v>
      </c>
      <c r="B47" s="2" t="s">
        <v>5</v>
      </c>
      <c r="C47" s="3" t="s">
        <v>27</v>
      </c>
      <c r="D47" s="3" t="s">
        <v>30</v>
      </c>
      <c r="E47" s="3" t="s">
        <v>40</v>
      </c>
      <c r="F47" s="4">
        <v>45190</v>
      </c>
      <c r="G47" s="3" t="s">
        <v>46</v>
      </c>
      <c r="H47" s="3">
        <v>20</v>
      </c>
      <c r="I47" s="3">
        <v>9</v>
      </c>
      <c r="J47" s="4">
        <v>46298</v>
      </c>
      <c r="K47" s="3" t="s">
        <v>70</v>
      </c>
      <c r="L47" s="3" t="s">
        <v>95</v>
      </c>
    </row>
    <row r="48" spans="1:12" ht="15.75" x14ac:dyDescent="0.25">
      <c r="A48" s="2" t="s">
        <v>146</v>
      </c>
      <c r="B48" s="2" t="s">
        <v>2</v>
      </c>
      <c r="C48" s="3" t="s">
        <v>17</v>
      </c>
      <c r="D48" s="3" t="s">
        <v>30</v>
      </c>
      <c r="E48" s="3" t="s">
        <v>39</v>
      </c>
      <c r="F48" s="4">
        <v>43931</v>
      </c>
      <c r="G48" s="3" t="s">
        <v>46</v>
      </c>
      <c r="H48" s="3">
        <v>20</v>
      </c>
      <c r="I48" s="3">
        <v>1</v>
      </c>
      <c r="J48" s="4">
        <v>44200</v>
      </c>
      <c r="K48" s="3" t="s">
        <v>61</v>
      </c>
      <c r="L48" s="3" t="s">
        <v>147</v>
      </c>
    </row>
    <row r="49" spans="1:12" ht="15.75" x14ac:dyDescent="0.25">
      <c r="A49" s="2" t="s">
        <v>148</v>
      </c>
      <c r="B49" s="2" t="s">
        <v>1</v>
      </c>
      <c r="C49" s="3" t="s">
        <v>22</v>
      </c>
      <c r="D49" s="3" t="s">
        <v>31</v>
      </c>
      <c r="E49" s="3" t="s">
        <v>40</v>
      </c>
      <c r="F49" s="4">
        <v>45623</v>
      </c>
      <c r="G49" s="3" t="s">
        <v>46</v>
      </c>
      <c r="H49" s="3">
        <v>40</v>
      </c>
      <c r="I49" s="3">
        <v>0</v>
      </c>
      <c r="J49" s="4">
        <v>46298</v>
      </c>
      <c r="K49" s="3" t="s">
        <v>70</v>
      </c>
      <c r="L49" s="3" t="s">
        <v>149</v>
      </c>
    </row>
    <row r="50" spans="1:12" ht="15.75" x14ac:dyDescent="0.25">
      <c r="A50" s="2" t="s">
        <v>150</v>
      </c>
      <c r="B50" s="2" t="s">
        <v>9</v>
      </c>
      <c r="C50" s="3" t="s">
        <v>24</v>
      </c>
      <c r="D50" s="3" t="s">
        <v>29</v>
      </c>
      <c r="E50" s="3" t="s">
        <v>41</v>
      </c>
      <c r="F50" s="4">
        <v>42405</v>
      </c>
      <c r="G50" s="3" t="s">
        <v>46</v>
      </c>
      <c r="H50" s="3">
        <v>15</v>
      </c>
      <c r="I50" s="3">
        <v>3</v>
      </c>
      <c r="J50" s="4">
        <v>42521</v>
      </c>
      <c r="K50" s="3" t="s">
        <v>61</v>
      </c>
      <c r="L50" s="3" t="s">
        <v>151</v>
      </c>
    </row>
    <row r="51" spans="1:12" ht="15.75" x14ac:dyDescent="0.25">
      <c r="A51" s="2" t="s">
        <v>152</v>
      </c>
      <c r="B51" s="2" t="s">
        <v>9</v>
      </c>
      <c r="C51" s="3" t="s">
        <v>16</v>
      </c>
      <c r="D51" s="3" t="s">
        <v>31</v>
      </c>
      <c r="E51" s="3" t="s">
        <v>41</v>
      </c>
      <c r="F51" s="4">
        <v>46010</v>
      </c>
      <c r="G51" s="3" t="s">
        <v>46</v>
      </c>
      <c r="H51" s="3">
        <v>40</v>
      </c>
      <c r="I51" s="3">
        <v>2</v>
      </c>
      <c r="J51" s="4">
        <v>46298</v>
      </c>
      <c r="K51" s="3" t="s">
        <v>70</v>
      </c>
      <c r="L51" s="3" t="s">
        <v>153</v>
      </c>
    </row>
    <row r="52" spans="1:12" ht="15.75" x14ac:dyDescent="0.25">
      <c r="A52" s="2" t="s">
        <v>154</v>
      </c>
      <c r="B52" s="2" t="s">
        <v>6</v>
      </c>
      <c r="C52" s="3" t="s">
        <v>21</v>
      </c>
      <c r="D52" s="3" t="s">
        <v>29</v>
      </c>
      <c r="E52" s="3" t="s">
        <v>44</v>
      </c>
      <c r="F52" s="4">
        <v>44431</v>
      </c>
      <c r="G52" s="3" t="s">
        <v>46</v>
      </c>
      <c r="H52" s="3">
        <v>15</v>
      </c>
      <c r="I52" s="3">
        <v>7</v>
      </c>
      <c r="J52" s="4">
        <v>45853</v>
      </c>
      <c r="K52" s="3" t="s">
        <v>61</v>
      </c>
      <c r="L52" s="3" t="s">
        <v>155</v>
      </c>
    </row>
    <row r="53" spans="1:12" ht="15.75" x14ac:dyDescent="0.25">
      <c r="A53" s="2" t="s">
        <v>156</v>
      </c>
      <c r="B53" s="2" t="s">
        <v>3</v>
      </c>
      <c r="C53" s="3" t="s">
        <v>9</v>
      </c>
      <c r="D53" s="3" t="s">
        <v>32</v>
      </c>
      <c r="E53" s="3" t="s">
        <v>42</v>
      </c>
      <c r="F53" s="4">
        <v>45545</v>
      </c>
      <c r="G53" s="3" t="s">
        <v>46</v>
      </c>
      <c r="H53" s="3">
        <v>60</v>
      </c>
      <c r="I53" s="3">
        <v>5</v>
      </c>
      <c r="J53" s="4">
        <v>46298</v>
      </c>
      <c r="K53" s="3" t="s">
        <v>70</v>
      </c>
      <c r="L53" s="3" t="s">
        <v>157</v>
      </c>
    </row>
    <row r="54" spans="1:12" ht="15.75" x14ac:dyDescent="0.25">
      <c r="A54" s="2" t="s">
        <v>158</v>
      </c>
      <c r="B54" s="2" t="s">
        <v>10</v>
      </c>
      <c r="C54" s="3" t="s">
        <v>19</v>
      </c>
      <c r="D54" s="3" t="s">
        <v>32</v>
      </c>
      <c r="E54" s="3" t="s">
        <v>42</v>
      </c>
      <c r="F54" s="4">
        <v>43172</v>
      </c>
      <c r="G54" s="3" t="s">
        <v>46</v>
      </c>
      <c r="H54" s="3">
        <v>60</v>
      </c>
      <c r="I54" s="3">
        <v>4</v>
      </c>
      <c r="J54" s="4">
        <v>43824</v>
      </c>
      <c r="K54" s="3" t="s">
        <v>61</v>
      </c>
      <c r="L54" s="3" t="s">
        <v>62</v>
      </c>
    </row>
    <row r="55" spans="1:12" ht="15.75" x14ac:dyDescent="0.25">
      <c r="A55" s="2" t="s">
        <v>159</v>
      </c>
      <c r="B55" s="2" t="s">
        <v>1</v>
      </c>
      <c r="C55" s="3" t="s">
        <v>16</v>
      </c>
      <c r="D55" s="3" t="s">
        <v>33</v>
      </c>
      <c r="E55" s="3" t="s">
        <v>41</v>
      </c>
      <c r="F55" s="4">
        <v>45758</v>
      </c>
      <c r="G55" s="3" t="s">
        <v>47</v>
      </c>
      <c r="H55" s="3">
        <v>80</v>
      </c>
      <c r="I55" s="3">
        <v>12</v>
      </c>
      <c r="J55" s="4">
        <v>46298</v>
      </c>
      <c r="K55" s="3" t="s">
        <v>70</v>
      </c>
      <c r="L55" s="3" t="s">
        <v>71</v>
      </c>
    </row>
    <row r="56" spans="1:12" ht="15.75" x14ac:dyDescent="0.25">
      <c r="A56" s="2" t="s">
        <v>160</v>
      </c>
      <c r="B56" s="2" t="s">
        <v>0</v>
      </c>
      <c r="C56" s="3" t="s">
        <v>25</v>
      </c>
      <c r="D56" s="3" t="s">
        <v>34</v>
      </c>
      <c r="E56" s="3" t="s">
        <v>41</v>
      </c>
      <c r="F56" s="4">
        <v>45609</v>
      </c>
      <c r="G56" s="3" t="s">
        <v>46</v>
      </c>
      <c r="H56" s="3">
        <v>100</v>
      </c>
      <c r="I56" s="3">
        <v>11</v>
      </c>
      <c r="J56" s="4">
        <v>46298</v>
      </c>
      <c r="K56" s="3" t="s">
        <v>70</v>
      </c>
      <c r="L56" s="3" t="s">
        <v>161</v>
      </c>
    </row>
    <row r="57" spans="1:12" ht="15.75" x14ac:dyDescent="0.25">
      <c r="A57" s="2" t="s">
        <v>162</v>
      </c>
      <c r="B57" s="2" t="s">
        <v>5</v>
      </c>
      <c r="C57" s="3" t="s">
        <v>22</v>
      </c>
      <c r="D57" s="3" t="s">
        <v>30</v>
      </c>
      <c r="E57" s="3" t="s">
        <v>37</v>
      </c>
      <c r="F57" s="4">
        <v>43844</v>
      </c>
      <c r="G57" s="3" t="s">
        <v>48</v>
      </c>
      <c r="H57" s="3">
        <v>0</v>
      </c>
      <c r="I57" s="3">
        <v>3</v>
      </c>
      <c r="J57" s="4">
        <v>44270</v>
      </c>
      <c r="K57" s="3" t="s">
        <v>61</v>
      </c>
      <c r="L57" s="3" t="s">
        <v>77</v>
      </c>
    </row>
    <row r="58" spans="1:12" ht="15.75" x14ac:dyDescent="0.25">
      <c r="A58" s="2" t="s">
        <v>163</v>
      </c>
      <c r="B58" s="2" t="s">
        <v>11</v>
      </c>
      <c r="C58" s="3" t="s">
        <v>22</v>
      </c>
      <c r="D58" s="3" t="s">
        <v>34</v>
      </c>
      <c r="E58" s="3" t="s">
        <v>38</v>
      </c>
      <c r="F58" s="4">
        <v>44737</v>
      </c>
      <c r="G58" s="3" t="s">
        <v>46</v>
      </c>
      <c r="H58" s="3">
        <v>100</v>
      </c>
      <c r="I58" s="3">
        <v>8</v>
      </c>
      <c r="J58" s="4">
        <v>46298</v>
      </c>
      <c r="K58" s="3" t="s">
        <v>70</v>
      </c>
      <c r="L58" s="3" t="s">
        <v>164</v>
      </c>
    </row>
    <row r="59" spans="1:12" ht="15.75" x14ac:dyDescent="0.25">
      <c r="A59" s="2" t="s">
        <v>165</v>
      </c>
      <c r="B59" s="2" t="s">
        <v>11</v>
      </c>
      <c r="C59" s="3" t="s">
        <v>10</v>
      </c>
      <c r="D59" s="3" t="s">
        <v>31</v>
      </c>
      <c r="E59" s="3" t="s">
        <v>39</v>
      </c>
      <c r="F59" s="4">
        <v>45233</v>
      </c>
      <c r="G59" s="3" t="s">
        <v>46</v>
      </c>
      <c r="H59" s="3">
        <v>40</v>
      </c>
      <c r="I59" s="3">
        <v>2</v>
      </c>
      <c r="J59" s="4">
        <v>46105</v>
      </c>
      <c r="K59" s="3" t="s">
        <v>70</v>
      </c>
      <c r="L59" s="3" t="s">
        <v>166</v>
      </c>
    </row>
    <row r="60" spans="1:12" ht="15.75" x14ac:dyDescent="0.25">
      <c r="A60" s="2" t="s">
        <v>167</v>
      </c>
      <c r="B60" s="2" t="s">
        <v>9</v>
      </c>
      <c r="C60" s="3" t="s">
        <v>15</v>
      </c>
      <c r="D60" s="3" t="s">
        <v>29</v>
      </c>
      <c r="E60" s="3" t="s">
        <v>44</v>
      </c>
      <c r="F60" s="4">
        <v>44784</v>
      </c>
      <c r="G60" s="3" t="s">
        <v>47</v>
      </c>
      <c r="H60" s="3">
        <v>15</v>
      </c>
      <c r="I60" s="3">
        <v>12</v>
      </c>
      <c r="J60" s="4">
        <v>45812</v>
      </c>
      <c r="K60" s="3" t="s">
        <v>61</v>
      </c>
      <c r="L60" s="3" t="s">
        <v>168</v>
      </c>
    </row>
    <row r="61" spans="1:12" ht="15.75" x14ac:dyDescent="0.25">
      <c r="A61" s="2" t="s">
        <v>169</v>
      </c>
      <c r="B61" s="2" t="s">
        <v>12</v>
      </c>
      <c r="C61" s="3" t="s">
        <v>23</v>
      </c>
      <c r="D61" s="3" t="s">
        <v>31</v>
      </c>
      <c r="E61" s="3" t="s">
        <v>41</v>
      </c>
      <c r="F61" s="4">
        <v>45787</v>
      </c>
      <c r="G61" s="3" t="s">
        <v>46</v>
      </c>
      <c r="H61" s="3">
        <v>40</v>
      </c>
      <c r="I61" s="3">
        <v>9</v>
      </c>
      <c r="J61" s="4">
        <v>46298</v>
      </c>
      <c r="K61" s="3" t="s">
        <v>70</v>
      </c>
      <c r="L61" s="3" t="s">
        <v>170</v>
      </c>
    </row>
    <row r="62" spans="1:12" ht="15.75" x14ac:dyDescent="0.25">
      <c r="A62" s="2" t="s">
        <v>171</v>
      </c>
      <c r="B62" s="2" t="s">
        <v>0</v>
      </c>
      <c r="C62" s="3" t="s">
        <v>10</v>
      </c>
      <c r="D62" s="3" t="s">
        <v>29</v>
      </c>
      <c r="E62" s="3" t="s">
        <v>38</v>
      </c>
      <c r="F62" s="4">
        <v>45087</v>
      </c>
      <c r="G62" s="3" t="s">
        <v>46</v>
      </c>
      <c r="H62" s="3">
        <v>15</v>
      </c>
      <c r="I62" s="3">
        <v>7</v>
      </c>
      <c r="J62" s="4">
        <v>46015</v>
      </c>
      <c r="K62" s="3" t="s">
        <v>70</v>
      </c>
      <c r="L62" s="3" t="s">
        <v>140</v>
      </c>
    </row>
    <row r="63" spans="1:12" ht="15.75" x14ac:dyDescent="0.25">
      <c r="A63" s="2" t="s">
        <v>172</v>
      </c>
      <c r="B63" s="2" t="s">
        <v>2</v>
      </c>
      <c r="C63" s="3" t="s">
        <v>9</v>
      </c>
      <c r="D63" s="3" t="s">
        <v>32</v>
      </c>
      <c r="E63" s="3" t="s">
        <v>43</v>
      </c>
      <c r="F63" s="4">
        <v>44402</v>
      </c>
      <c r="G63" s="3" t="s">
        <v>46</v>
      </c>
      <c r="H63" s="3">
        <v>60</v>
      </c>
      <c r="I63" s="3">
        <v>11</v>
      </c>
      <c r="J63" s="4">
        <v>46004</v>
      </c>
      <c r="K63" s="3" t="s">
        <v>70</v>
      </c>
      <c r="L63" s="3" t="s">
        <v>173</v>
      </c>
    </row>
    <row r="64" spans="1:12" ht="15.75" x14ac:dyDescent="0.25">
      <c r="A64" s="2" t="s">
        <v>174</v>
      </c>
      <c r="B64" s="2" t="s">
        <v>0</v>
      </c>
      <c r="C64" s="3" t="s">
        <v>23</v>
      </c>
      <c r="D64" s="3" t="s">
        <v>30</v>
      </c>
      <c r="E64" s="3" t="s">
        <v>43</v>
      </c>
      <c r="F64" s="4">
        <v>44679</v>
      </c>
      <c r="G64" s="3" t="s">
        <v>46</v>
      </c>
      <c r="H64" s="3">
        <v>20</v>
      </c>
      <c r="I64" s="3">
        <v>12</v>
      </c>
      <c r="J64" s="4">
        <v>45080</v>
      </c>
      <c r="K64" s="3" t="s">
        <v>61</v>
      </c>
      <c r="L64" s="3" t="s">
        <v>175</v>
      </c>
    </row>
    <row r="65" spans="1:12" ht="15.75" x14ac:dyDescent="0.25">
      <c r="A65" s="2" t="s">
        <v>176</v>
      </c>
      <c r="B65" s="2" t="s">
        <v>7</v>
      </c>
      <c r="C65" s="3" t="s">
        <v>25</v>
      </c>
      <c r="D65" s="3" t="s">
        <v>33</v>
      </c>
      <c r="E65" s="3" t="s">
        <v>43</v>
      </c>
      <c r="F65" s="4">
        <v>44587</v>
      </c>
      <c r="G65" s="3" t="s">
        <v>46</v>
      </c>
      <c r="H65" s="3">
        <v>80</v>
      </c>
      <c r="I65" s="3">
        <v>9</v>
      </c>
      <c r="J65" s="4">
        <v>46009</v>
      </c>
      <c r="K65" s="3" t="s">
        <v>70</v>
      </c>
      <c r="L65" s="3" t="s">
        <v>177</v>
      </c>
    </row>
    <row r="66" spans="1:12" ht="15.75" x14ac:dyDescent="0.25">
      <c r="A66" s="2" t="s">
        <v>178</v>
      </c>
      <c r="B66" s="2" t="s">
        <v>4</v>
      </c>
      <c r="C66" s="3" t="s">
        <v>9</v>
      </c>
      <c r="D66" s="3" t="s">
        <v>30</v>
      </c>
      <c r="E66" s="3" t="s">
        <v>38</v>
      </c>
      <c r="F66" s="4">
        <v>43711</v>
      </c>
      <c r="G66" s="3" t="s">
        <v>46</v>
      </c>
      <c r="H66" s="3">
        <v>20</v>
      </c>
      <c r="I66" s="3">
        <v>9</v>
      </c>
      <c r="J66" s="4">
        <v>45192</v>
      </c>
      <c r="K66" s="3" t="s">
        <v>61</v>
      </c>
      <c r="L66" s="3" t="s">
        <v>179</v>
      </c>
    </row>
    <row r="67" spans="1:12" ht="15.75" x14ac:dyDescent="0.25">
      <c r="A67" s="2" t="s">
        <v>180</v>
      </c>
      <c r="B67" s="2" t="s">
        <v>13</v>
      </c>
      <c r="C67" s="3" t="s">
        <v>19</v>
      </c>
      <c r="D67" s="3" t="s">
        <v>34</v>
      </c>
      <c r="E67" s="3" t="s">
        <v>39</v>
      </c>
      <c r="F67" s="4">
        <v>45262</v>
      </c>
      <c r="G67" s="3" t="s">
        <v>47</v>
      </c>
      <c r="H67" s="3">
        <v>100</v>
      </c>
      <c r="I67" s="3">
        <v>0</v>
      </c>
      <c r="J67" s="4">
        <v>46298</v>
      </c>
      <c r="K67" s="3" t="s">
        <v>70</v>
      </c>
      <c r="L67" s="3" t="s">
        <v>111</v>
      </c>
    </row>
    <row r="68" spans="1:12" ht="15.75" x14ac:dyDescent="0.25">
      <c r="A68" s="2" t="s">
        <v>181</v>
      </c>
      <c r="B68" s="2" t="s">
        <v>14</v>
      </c>
      <c r="C68" s="3" t="s">
        <v>26</v>
      </c>
      <c r="D68" s="3" t="s">
        <v>30</v>
      </c>
      <c r="E68" s="3" t="s">
        <v>37</v>
      </c>
      <c r="F68" s="4">
        <v>43324</v>
      </c>
      <c r="G68" s="3" t="s">
        <v>47</v>
      </c>
      <c r="H68" s="3">
        <v>20</v>
      </c>
      <c r="I68" s="3">
        <v>4</v>
      </c>
      <c r="J68" s="4">
        <v>44728</v>
      </c>
      <c r="K68" s="3" t="s">
        <v>61</v>
      </c>
      <c r="L68" s="3" t="s">
        <v>182</v>
      </c>
    </row>
    <row r="69" spans="1:12" ht="15.75" x14ac:dyDescent="0.25">
      <c r="A69" s="2" t="s">
        <v>183</v>
      </c>
      <c r="B69" s="2" t="s">
        <v>12</v>
      </c>
      <c r="C69" s="3" t="s">
        <v>26</v>
      </c>
      <c r="D69" s="3" t="s">
        <v>32</v>
      </c>
      <c r="E69" s="3" t="s">
        <v>39</v>
      </c>
      <c r="F69" s="4">
        <v>43972</v>
      </c>
      <c r="G69" s="3" t="s">
        <v>46</v>
      </c>
      <c r="H69" s="3">
        <v>60</v>
      </c>
      <c r="I69" s="3">
        <v>5</v>
      </c>
      <c r="J69" s="4">
        <v>44757</v>
      </c>
      <c r="K69" s="3" t="s">
        <v>61</v>
      </c>
      <c r="L69" s="3" t="s">
        <v>66</v>
      </c>
    </row>
    <row r="70" spans="1:12" ht="15.75" x14ac:dyDescent="0.25">
      <c r="A70" s="2" t="s">
        <v>184</v>
      </c>
      <c r="B70" s="2" t="s">
        <v>5</v>
      </c>
      <c r="C70" s="3" t="s">
        <v>26</v>
      </c>
      <c r="D70" s="3" t="s">
        <v>34</v>
      </c>
      <c r="E70" s="3" t="s">
        <v>42</v>
      </c>
      <c r="F70" s="4">
        <v>44000</v>
      </c>
      <c r="G70" s="3" t="s">
        <v>48</v>
      </c>
      <c r="H70" s="3">
        <v>0</v>
      </c>
      <c r="I70" s="3">
        <v>4</v>
      </c>
      <c r="J70" s="4">
        <v>45911</v>
      </c>
      <c r="K70" s="3" t="s">
        <v>61</v>
      </c>
      <c r="L70" s="3" t="s">
        <v>185</v>
      </c>
    </row>
    <row r="71" spans="1:12" ht="15.75" x14ac:dyDescent="0.25">
      <c r="A71" s="2" t="s">
        <v>186</v>
      </c>
      <c r="B71" s="2" t="s">
        <v>3</v>
      </c>
      <c r="C71" s="3" t="s">
        <v>22</v>
      </c>
      <c r="D71" s="3" t="s">
        <v>31</v>
      </c>
      <c r="E71" s="3" t="s">
        <v>43</v>
      </c>
      <c r="F71" s="4">
        <v>45635</v>
      </c>
      <c r="G71" s="3" t="s">
        <v>46</v>
      </c>
      <c r="H71" s="3">
        <v>40</v>
      </c>
      <c r="I71" s="3">
        <v>9</v>
      </c>
      <c r="J71" s="4">
        <v>46298</v>
      </c>
      <c r="K71" s="3" t="s">
        <v>70</v>
      </c>
      <c r="L71" s="3" t="s">
        <v>187</v>
      </c>
    </row>
    <row r="72" spans="1:12" ht="15.75" x14ac:dyDescent="0.25">
      <c r="A72" s="2" t="s">
        <v>188</v>
      </c>
      <c r="B72" s="2" t="s">
        <v>10</v>
      </c>
      <c r="C72" s="3" t="s">
        <v>27</v>
      </c>
      <c r="D72" s="3" t="s">
        <v>31</v>
      </c>
      <c r="E72" s="3" t="s">
        <v>41</v>
      </c>
      <c r="F72" s="4">
        <v>45558</v>
      </c>
      <c r="G72" s="3" t="s">
        <v>46</v>
      </c>
      <c r="H72" s="3">
        <v>40</v>
      </c>
      <c r="I72" s="3">
        <v>11</v>
      </c>
      <c r="J72" s="4">
        <v>46298</v>
      </c>
      <c r="K72" s="3" t="s">
        <v>70</v>
      </c>
      <c r="L72" s="3" t="s">
        <v>189</v>
      </c>
    </row>
    <row r="73" spans="1:12" ht="15.75" x14ac:dyDescent="0.25">
      <c r="A73" s="2" t="s">
        <v>190</v>
      </c>
      <c r="B73" s="2" t="s">
        <v>6</v>
      </c>
      <c r="C73" s="3" t="s">
        <v>17</v>
      </c>
      <c r="D73" s="3" t="s">
        <v>32</v>
      </c>
      <c r="E73" s="3" t="s">
        <v>39</v>
      </c>
      <c r="F73" s="4">
        <v>42692</v>
      </c>
      <c r="G73" s="3" t="s">
        <v>46</v>
      </c>
      <c r="H73" s="3">
        <v>60</v>
      </c>
      <c r="I73" s="3">
        <v>8</v>
      </c>
      <c r="J73" s="4">
        <v>43935</v>
      </c>
      <c r="K73" s="3" t="s">
        <v>61</v>
      </c>
      <c r="L73" s="3" t="s">
        <v>123</v>
      </c>
    </row>
    <row r="74" spans="1:12" ht="15.75" x14ac:dyDescent="0.25">
      <c r="A74" s="2" t="s">
        <v>191</v>
      </c>
      <c r="B74" s="2" t="s">
        <v>4</v>
      </c>
      <c r="C74" s="3" t="s">
        <v>9</v>
      </c>
      <c r="D74" s="3" t="s">
        <v>32</v>
      </c>
      <c r="E74" s="3" t="s">
        <v>40</v>
      </c>
      <c r="F74" s="4">
        <v>45350</v>
      </c>
      <c r="G74" s="3" t="s">
        <v>47</v>
      </c>
      <c r="H74" s="3">
        <v>60</v>
      </c>
      <c r="I74" s="3">
        <v>3</v>
      </c>
      <c r="J74" s="4">
        <v>45594</v>
      </c>
      <c r="K74" s="3" t="s">
        <v>61</v>
      </c>
      <c r="L74" s="3" t="s">
        <v>179</v>
      </c>
    </row>
    <row r="75" spans="1:12" ht="15.75" x14ac:dyDescent="0.25">
      <c r="A75" s="2" t="s">
        <v>192</v>
      </c>
      <c r="B75" s="2" t="s">
        <v>1</v>
      </c>
      <c r="C75" s="3" t="s">
        <v>26</v>
      </c>
      <c r="D75" s="3" t="s">
        <v>31</v>
      </c>
      <c r="E75" s="3" t="s">
        <v>43</v>
      </c>
      <c r="F75" s="4">
        <v>42779</v>
      </c>
      <c r="G75" s="3" t="s">
        <v>48</v>
      </c>
      <c r="H75" s="3">
        <v>0</v>
      </c>
      <c r="I75" s="3">
        <v>0</v>
      </c>
      <c r="J75" s="4">
        <v>42869</v>
      </c>
      <c r="K75" s="3" t="s">
        <v>61</v>
      </c>
      <c r="L75" s="3" t="s">
        <v>193</v>
      </c>
    </row>
    <row r="76" spans="1:12" ht="15.75" x14ac:dyDescent="0.25">
      <c r="A76" s="2" t="s">
        <v>194</v>
      </c>
      <c r="B76" s="2" t="s">
        <v>7</v>
      </c>
      <c r="C76" s="3" t="s">
        <v>9</v>
      </c>
      <c r="D76" s="3" t="s">
        <v>33</v>
      </c>
      <c r="E76" s="3" t="s">
        <v>44</v>
      </c>
      <c r="F76" s="4">
        <v>44810</v>
      </c>
      <c r="G76" s="3" t="s">
        <v>46</v>
      </c>
      <c r="H76" s="3">
        <v>80</v>
      </c>
      <c r="I76" s="3">
        <v>1</v>
      </c>
      <c r="J76" s="4">
        <v>46298</v>
      </c>
      <c r="K76" s="3" t="s">
        <v>70</v>
      </c>
      <c r="L76" s="3" t="s">
        <v>195</v>
      </c>
    </row>
    <row r="77" spans="1:12" ht="15.75" x14ac:dyDescent="0.25">
      <c r="A77" s="2" t="s">
        <v>196</v>
      </c>
      <c r="B77" s="2" t="s">
        <v>8</v>
      </c>
      <c r="C77" s="3" t="s">
        <v>21</v>
      </c>
      <c r="D77" s="3" t="s">
        <v>30</v>
      </c>
      <c r="E77" s="3" t="s">
        <v>40</v>
      </c>
      <c r="F77" s="4">
        <v>42871</v>
      </c>
      <c r="G77" s="3" t="s">
        <v>46</v>
      </c>
      <c r="H77" s="3">
        <v>20</v>
      </c>
      <c r="I77" s="3">
        <v>6</v>
      </c>
      <c r="J77" s="4">
        <v>42931</v>
      </c>
      <c r="K77" s="3" t="s">
        <v>61</v>
      </c>
      <c r="L77" s="3" t="s">
        <v>197</v>
      </c>
    </row>
    <row r="78" spans="1:12" ht="15.75" x14ac:dyDescent="0.25">
      <c r="A78" s="2" t="s">
        <v>198</v>
      </c>
      <c r="B78" s="2" t="s">
        <v>14</v>
      </c>
      <c r="C78" s="3" t="s">
        <v>20</v>
      </c>
      <c r="D78" s="3" t="s">
        <v>34</v>
      </c>
      <c r="E78" s="3" t="s">
        <v>41</v>
      </c>
      <c r="F78" s="4">
        <v>45498</v>
      </c>
      <c r="G78" s="3" t="s">
        <v>46</v>
      </c>
      <c r="H78" s="3">
        <v>100</v>
      </c>
      <c r="I78" s="3">
        <v>11</v>
      </c>
      <c r="J78" s="4">
        <v>45637</v>
      </c>
      <c r="K78" s="3" t="s">
        <v>61</v>
      </c>
      <c r="L78" s="3" t="s">
        <v>199</v>
      </c>
    </row>
    <row r="79" spans="1:12" ht="15.75" x14ac:dyDescent="0.25">
      <c r="A79" s="2" t="s">
        <v>200</v>
      </c>
      <c r="B79" s="2" t="s">
        <v>6</v>
      </c>
      <c r="C79" s="3" t="s">
        <v>23</v>
      </c>
      <c r="D79" s="3" t="s">
        <v>29</v>
      </c>
      <c r="E79" s="3" t="s">
        <v>37</v>
      </c>
      <c r="F79" s="4">
        <v>45112</v>
      </c>
      <c r="G79" s="3" t="s">
        <v>46</v>
      </c>
      <c r="H79" s="3">
        <v>15</v>
      </c>
      <c r="I79" s="3">
        <v>9</v>
      </c>
      <c r="J79" s="4">
        <v>45715</v>
      </c>
      <c r="K79" s="3" t="s">
        <v>61</v>
      </c>
      <c r="L79" s="3" t="s">
        <v>201</v>
      </c>
    </row>
    <row r="80" spans="1:12" ht="15.75" x14ac:dyDescent="0.25">
      <c r="A80" s="2" t="s">
        <v>202</v>
      </c>
      <c r="B80" s="2" t="s">
        <v>11</v>
      </c>
      <c r="C80" s="3" t="s">
        <v>19</v>
      </c>
      <c r="D80" s="3" t="s">
        <v>30</v>
      </c>
      <c r="E80" s="3" t="s">
        <v>39</v>
      </c>
      <c r="F80" s="4">
        <v>45793</v>
      </c>
      <c r="G80" s="3" t="s">
        <v>46</v>
      </c>
      <c r="H80" s="3">
        <v>20</v>
      </c>
      <c r="I80" s="3">
        <v>7</v>
      </c>
      <c r="J80" s="4">
        <v>46062</v>
      </c>
      <c r="K80" s="3" t="s">
        <v>70</v>
      </c>
      <c r="L80" s="3" t="s">
        <v>203</v>
      </c>
    </row>
    <row r="81" spans="1:12" ht="15.75" x14ac:dyDescent="0.25">
      <c r="A81" s="2" t="s">
        <v>204</v>
      </c>
      <c r="B81" s="2" t="s">
        <v>7</v>
      </c>
      <c r="C81" s="3" t="s">
        <v>19</v>
      </c>
      <c r="D81" s="3" t="s">
        <v>30</v>
      </c>
      <c r="E81" s="3" t="s">
        <v>39</v>
      </c>
      <c r="F81" s="4">
        <v>45386</v>
      </c>
      <c r="G81" s="3" t="s">
        <v>46</v>
      </c>
      <c r="H81" s="3">
        <v>20</v>
      </c>
      <c r="I81" s="3">
        <v>3</v>
      </c>
      <c r="J81" s="4">
        <v>46298</v>
      </c>
      <c r="K81" s="3" t="s">
        <v>70</v>
      </c>
      <c r="L81" s="3" t="s">
        <v>205</v>
      </c>
    </row>
    <row r="82" spans="1:12" ht="15.75" x14ac:dyDescent="0.25">
      <c r="A82" s="2" t="s">
        <v>206</v>
      </c>
      <c r="B82" s="2" t="s">
        <v>2</v>
      </c>
      <c r="C82" s="3" t="s">
        <v>26</v>
      </c>
      <c r="D82" s="3" t="s">
        <v>31</v>
      </c>
      <c r="E82" s="3" t="s">
        <v>37</v>
      </c>
      <c r="F82" s="4">
        <v>43481</v>
      </c>
      <c r="G82" s="3" t="s">
        <v>46</v>
      </c>
      <c r="H82" s="3">
        <v>40</v>
      </c>
      <c r="I82" s="3">
        <v>7</v>
      </c>
      <c r="J82" s="4">
        <v>45135</v>
      </c>
      <c r="K82" s="3" t="s">
        <v>61</v>
      </c>
      <c r="L82" s="3" t="s">
        <v>207</v>
      </c>
    </row>
    <row r="83" spans="1:12" ht="15.75" x14ac:dyDescent="0.25">
      <c r="A83" s="2" t="s">
        <v>208</v>
      </c>
      <c r="B83" s="2" t="s">
        <v>14</v>
      </c>
      <c r="C83" s="3" t="s">
        <v>24</v>
      </c>
      <c r="D83" s="3" t="s">
        <v>29</v>
      </c>
      <c r="E83" s="3" t="s">
        <v>38</v>
      </c>
      <c r="F83" s="4">
        <v>45680</v>
      </c>
      <c r="G83" s="3" t="s">
        <v>46</v>
      </c>
      <c r="H83" s="3">
        <v>15</v>
      </c>
      <c r="I83" s="3">
        <v>11</v>
      </c>
      <c r="J83" s="4">
        <v>46298</v>
      </c>
      <c r="K83" s="3" t="s">
        <v>70</v>
      </c>
      <c r="L83" s="3" t="s">
        <v>209</v>
      </c>
    </row>
    <row r="84" spans="1:12" ht="15.75" x14ac:dyDescent="0.25">
      <c r="A84" s="2" t="s">
        <v>210</v>
      </c>
      <c r="B84" s="2" t="s">
        <v>11</v>
      </c>
      <c r="C84" s="3" t="s">
        <v>26</v>
      </c>
      <c r="D84" s="3" t="s">
        <v>31</v>
      </c>
      <c r="E84" s="3" t="s">
        <v>38</v>
      </c>
      <c r="F84" s="4">
        <v>44422</v>
      </c>
      <c r="G84" s="3" t="s">
        <v>46</v>
      </c>
      <c r="H84" s="3">
        <v>40</v>
      </c>
      <c r="I84" s="3">
        <v>8</v>
      </c>
      <c r="J84" s="4">
        <v>45058</v>
      </c>
      <c r="K84" s="3" t="s">
        <v>61</v>
      </c>
      <c r="L84" s="3" t="s">
        <v>211</v>
      </c>
    </row>
    <row r="85" spans="1:12" ht="15.75" x14ac:dyDescent="0.25">
      <c r="A85" s="2" t="s">
        <v>212</v>
      </c>
      <c r="B85" s="2" t="s">
        <v>14</v>
      </c>
      <c r="C85" s="3" t="s">
        <v>19</v>
      </c>
      <c r="D85" s="3" t="s">
        <v>33</v>
      </c>
      <c r="E85" s="3" t="s">
        <v>44</v>
      </c>
      <c r="F85" s="4">
        <v>43626</v>
      </c>
      <c r="G85" s="3" t="s">
        <v>46</v>
      </c>
      <c r="H85" s="3">
        <v>80</v>
      </c>
      <c r="I85" s="3">
        <v>3</v>
      </c>
      <c r="J85" s="4">
        <v>45396</v>
      </c>
      <c r="K85" s="3" t="s">
        <v>61</v>
      </c>
      <c r="L85" s="3" t="s">
        <v>213</v>
      </c>
    </row>
    <row r="86" spans="1:12" ht="15.75" x14ac:dyDescent="0.25">
      <c r="A86" s="2" t="s">
        <v>214</v>
      </c>
      <c r="B86" s="2" t="s">
        <v>9</v>
      </c>
      <c r="C86" s="3" t="s">
        <v>19</v>
      </c>
      <c r="D86" s="3" t="s">
        <v>30</v>
      </c>
      <c r="E86" s="3" t="s">
        <v>44</v>
      </c>
      <c r="F86" s="4">
        <v>43013</v>
      </c>
      <c r="G86" s="3" t="s">
        <v>46</v>
      </c>
      <c r="H86" s="3">
        <v>20</v>
      </c>
      <c r="I86" s="3">
        <v>11</v>
      </c>
      <c r="J86" s="4">
        <v>45005</v>
      </c>
      <c r="K86" s="3" t="s">
        <v>61</v>
      </c>
      <c r="L86" s="3" t="s">
        <v>99</v>
      </c>
    </row>
    <row r="87" spans="1:12" ht="15.75" x14ac:dyDescent="0.25">
      <c r="A87" s="2" t="s">
        <v>215</v>
      </c>
      <c r="B87" s="2" t="s">
        <v>9</v>
      </c>
      <c r="C87" s="3" t="s">
        <v>25</v>
      </c>
      <c r="D87" s="3" t="s">
        <v>30</v>
      </c>
      <c r="E87" s="3" t="s">
        <v>39</v>
      </c>
      <c r="F87" s="4">
        <v>42534</v>
      </c>
      <c r="G87" s="3" t="s">
        <v>46</v>
      </c>
      <c r="H87" s="3">
        <v>20</v>
      </c>
      <c r="I87" s="3">
        <v>0</v>
      </c>
      <c r="J87" s="4">
        <v>43972</v>
      </c>
      <c r="K87" s="3" t="s">
        <v>61</v>
      </c>
      <c r="L87" s="3" t="s">
        <v>93</v>
      </c>
    </row>
    <row r="88" spans="1:12" ht="15.75" x14ac:dyDescent="0.25">
      <c r="A88" s="2" t="s">
        <v>216</v>
      </c>
      <c r="B88" s="2" t="s">
        <v>9</v>
      </c>
      <c r="C88" s="3" t="s">
        <v>18</v>
      </c>
      <c r="D88" s="3" t="s">
        <v>32</v>
      </c>
      <c r="E88" s="3" t="s">
        <v>40</v>
      </c>
      <c r="F88" s="4">
        <v>44429</v>
      </c>
      <c r="G88" s="3" t="s">
        <v>46</v>
      </c>
      <c r="H88" s="3">
        <v>60</v>
      </c>
      <c r="I88" s="3">
        <v>9</v>
      </c>
      <c r="J88" s="4">
        <v>44537</v>
      </c>
      <c r="K88" s="3" t="s">
        <v>61</v>
      </c>
      <c r="L88" s="3" t="s">
        <v>217</v>
      </c>
    </row>
    <row r="89" spans="1:12" ht="15.75" x14ac:dyDescent="0.25">
      <c r="A89" s="2" t="s">
        <v>218</v>
      </c>
      <c r="B89" s="2" t="s">
        <v>8</v>
      </c>
      <c r="C89" s="3" t="s">
        <v>17</v>
      </c>
      <c r="D89" s="3" t="s">
        <v>31</v>
      </c>
      <c r="E89" s="3" t="s">
        <v>38</v>
      </c>
      <c r="F89" s="4">
        <v>43514</v>
      </c>
      <c r="G89" s="3" t="s">
        <v>46</v>
      </c>
      <c r="H89" s="3">
        <v>40</v>
      </c>
      <c r="I89" s="3">
        <v>1</v>
      </c>
      <c r="J89" s="4">
        <v>43817</v>
      </c>
      <c r="K89" s="3" t="s">
        <v>61</v>
      </c>
      <c r="L89" s="3" t="s">
        <v>219</v>
      </c>
    </row>
    <row r="90" spans="1:12" ht="15.75" x14ac:dyDescent="0.25">
      <c r="A90" s="2" t="s">
        <v>220</v>
      </c>
      <c r="B90" s="2" t="s">
        <v>2</v>
      </c>
      <c r="C90" s="3" t="s">
        <v>19</v>
      </c>
      <c r="D90" s="3" t="s">
        <v>29</v>
      </c>
      <c r="E90" s="3" t="s">
        <v>40</v>
      </c>
      <c r="F90" s="4">
        <v>43650</v>
      </c>
      <c r="G90" s="3" t="s">
        <v>46</v>
      </c>
      <c r="H90" s="3">
        <v>15</v>
      </c>
      <c r="I90" s="3">
        <v>7</v>
      </c>
      <c r="J90" s="4">
        <v>44664</v>
      </c>
      <c r="K90" s="3" t="s">
        <v>61</v>
      </c>
      <c r="L90" s="3" t="s">
        <v>68</v>
      </c>
    </row>
    <row r="91" spans="1:12" ht="15.75" x14ac:dyDescent="0.25">
      <c r="A91" s="2" t="s">
        <v>221</v>
      </c>
      <c r="B91" s="2" t="s">
        <v>2</v>
      </c>
      <c r="C91" s="3" t="s">
        <v>10</v>
      </c>
      <c r="D91" s="3" t="s">
        <v>30</v>
      </c>
      <c r="E91" s="3" t="s">
        <v>37</v>
      </c>
      <c r="F91" s="4">
        <v>42868</v>
      </c>
      <c r="G91" s="3" t="s">
        <v>46</v>
      </c>
      <c r="H91" s="3">
        <v>20</v>
      </c>
      <c r="I91" s="3">
        <v>8</v>
      </c>
      <c r="J91" s="4">
        <v>43226</v>
      </c>
      <c r="K91" s="3" t="s">
        <v>61</v>
      </c>
      <c r="L91" s="3" t="s">
        <v>222</v>
      </c>
    </row>
    <row r="92" spans="1:12" ht="15.75" x14ac:dyDescent="0.25">
      <c r="A92" s="2" t="s">
        <v>223</v>
      </c>
      <c r="B92" s="2" t="s">
        <v>1</v>
      </c>
      <c r="C92" s="3" t="s">
        <v>22</v>
      </c>
      <c r="D92" s="3" t="s">
        <v>32</v>
      </c>
      <c r="E92" s="3" t="s">
        <v>38</v>
      </c>
      <c r="F92" s="4">
        <v>44446</v>
      </c>
      <c r="G92" s="3" t="s">
        <v>46</v>
      </c>
      <c r="H92" s="3">
        <v>60</v>
      </c>
      <c r="I92" s="3">
        <v>10</v>
      </c>
      <c r="J92" s="4">
        <v>44954</v>
      </c>
      <c r="K92" s="3" t="s">
        <v>61</v>
      </c>
      <c r="L92" s="3" t="s">
        <v>149</v>
      </c>
    </row>
    <row r="93" spans="1:12" ht="15.75" x14ac:dyDescent="0.25">
      <c r="A93" s="2" t="s">
        <v>224</v>
      </c>
      <c r="B93" s="2" t="s">
        <v>13</v>
      </c>
      <c r="C93" s="3" t="s">
        <v>20</v>
      </c>
      <c r="D93" s="3" t="s">
        <v>30</v>
      </c>
      <c r="E93" s="3" t="s">
        <v>39</v>
      </c>
      <c r="F93" s="4">
        <v>44682</v>
      </c>
      <c r="G93" s="3" t="s">
        <v>46</v>
      </c>
      <c r="H93" s="3">
        <v>20</v>
      </c>
      <c r="I93" s="3">
        <v>7</v>
      </c>
      <c r="J93" s="4">
        <v>45568</v>
      </c>
      <c r="K93" s="3" t="s">
        <v>61</v>
      </c>
      <c r="L93" s="3" t="s">
        <v>225</v>
      </c>
    </row>
    <row r="94" spans="1:12" ht="15.75" x14ac:dyDescent="0.25">
      <c r="A94" s="2" t="s">
        <v>226</v>
      </c>
      <c r="B94" s="2" t="s">
        <v>2</v>
      </c>
      <c r="C94" s="3" t="s">
        <v>24</v>
      </c>
      <c r="D94" s="3" t="s">
        <v>32</v>
      </c>
      <c r="E94" s="3" t="s">
        <v>44</v>
      </c>
      <c r="F94" s="4">
        <v>45113</v>
      </c>
      <c r="G94" s="3" t="s">
        <v>46</v>
      </c>
      <c r="H94" s="3">
        <v>60</v>
      </c>
      <c r="I94" s="3">
        <v>10</v>
      </c>
      <c r="J94" s="4">
        <v>46032</v>
      </c>
      <c r="K94" s="3" t="s">
        <v>70</v>
      </c>
      <c r="L94" s="3" t="s">
        <v>227</v>
      </c>
    </row>
    <row r="95" spans="1:12" ht="15.75" x14ac:dyDescent="0.25">
      <c r="A95" s="2" t="s">
        <v>228</v>
      </c>
      <c r="B95" s="2" t="s">
        <v>9</v>
      </c>
      <c r="C95" s="3" t="s">
        <v>9</v>
      </c>
      <c r="D95" s="3" t="s">
        <v>34</v>
      </c>
      <c r="E95" s="3" t="s">
        <v>39</v>
      </c>
      <c r="F95" s="4">
        <v>44793</v>
      </c>
      <c r="G95" s="3" t="s">
        <v>48</v>
      </c>
      <c r="H95" s="3">
        <v>0</v>
      </c>
      <c r="I95" s="3">
        <v>7</v>
      </c>
      <c r="J95" s="4">
        <v>45195</v>
      </c>
      <c r="K95" s="3" t="s">
        <v>61</v>
      </c>
      <c r="L95" s="3" t="s">
        <v>229</v>
      </c>
    </row>
    <row r="96" spans="1:12" ht="15.75" x14ac:dyDescent="0.25">
      <c r="A96" s="2" t="s">
        <v>230</v>
      </c>
      <c r="B96" s="2" t="s">
        <v>5</v>
      </c>
      <c r="C96" s="3" t="s">
        <v>27</v>
      </c>
      <c r="D96" s="3" t="s">
        <v>32</v>
      </c>
      <c r="E96" s="3" t="s">
        <v>43</v>
      </c>
      <c r="F96" s="4">
        <v>42788</v>
      </c>
      <c r="G96" s="3" t="s">
        <v>46</v>
      </c>
      <c r="H96" s="3">
        <v>60</v>
      </c>
      <c r="I96" s="3">
        <v>6</v>
      </c>
      <c r="J96" s="4">
        <v>43427</v>
      </c>
      <c r="K96" s="3" t="s">
        <v>61</v>
      </c>
      <c r="L96" s="3" t="s">
        <v>95</v>
      </c>
    </row>
    <row r="97" spans="1:12" ht="15.75" x14ac:dyDescent="0.25">
      <c r="A97" s="2" t="s">
        <v>231</v>
      </c>
      <c r="B97" s="2" t="s">
        <v>12</v>
      </c>
      <c r="C97" s="3" t="s">
        <v>24</v>
      </c>
      <c r="D97" s="3" t="s">
        <v>33</v>
      </c>
      <c r="E97" s="3" t="s">
        <v>43</v>
      </c>
      <c r="F97" s="4">
        <v>44658</v>
      </c>
      <c r="G97" s="3" t="s">
        <v>46</v>
      </c>
      <c r="H97" s="3">
        <v>80</v>
      </c>
      <c r="I97" s="3">
        <v>2</v>
      </c>
      <c r="J97" s="4">
        <v>45249</v>
      </c>
      <c r="K97" s="3" t="s">
        <v>61</v>
      </c>
      <c r="L97" s="3" t="s">
        <v>232</v>
      </c>
    </row>
    <row r="98" spans="1:12" ht="15.75" x14ac:dyDescent="0.25">
      <c r="A98" s="2" t="s">
        <v>233</v>
      </c>
      <c r="B98" s="2" t="s">
        <v>3</v>
      </c>
      <c r="C98" s="3" t="s">
        <v>23</v>
      </c>
      <c r="D98" s="3" t="s">
        <v>29</v>
      </c>
      <c r="E98" s="3" t="s">
        <v>41</v>
      </c>
      <c r="F98" s="4">
        <v>43057</v>
      </c>
      <c r="G98" s="3" t="s">
        <v>46</v>
      </c>
      <c r="H98" s="3">
        <v>15</v>
      </c>
      <c r="I98" s="3">
        <v>2</v>
      </c>
      <c r="J98" s="4">
        <v>43821</v>
      </c>
      <c r="K98" s="3" t="s">
        <v>61</v>
      </c>
      <c r="L98" s="3" t="s">
        <v>234</v>
      </c>
    </row>
    <row r="99" spans="1:12" ht="15.75" x14ac:dyDescent="0.25">
      <c r="A99" s="2" t="s">
        <v>235</v>
      </c>
      <c r="B99" s="2" t="s">
        <v>6</v>
      </c>
      <c r="C99" s="3" t="s">
        <v>21</v>
      </c>
      <c r="D99" s="3" t="s">
        <v>32</v>
      </c>
      <c r="E99" s="3" t="s">
        <v>43</v>
      </c>
      <c r="F99" s="4">
        <v>42486</v>
      </c>
      <c r="G99" s="3" t="s">
        <v>46</v>
      </c>
      <c r="H99" s="3">
        <v>60</v>
      </c>
      <c r="I99" s="3">
        <v>9</v>
      </c>
      <c r="J99" s="4">
        <v>42769</v>
      </c>
      <c r="K99" s="3" t="s">
        <v>61</v>
      </c>
      <c r="L99" s="3" t="s">
        <v>155</v>
      </c>
    </row>
    <row r="100" spans="1:12" ht="15.75" x14ac:dyDescent="0.25">
      <c r="A100" s="2" t="s">
        <v>236</v>
      </c>
      <c r="B100" s="2" t="s">
        <v>6</v>
      </c>
      <c r="C100" s="3" t="s">
        <v>27</v>
      </c>
      <c r="D100" s="3" t="s">
        <v>31</v>
      </c>
      <c r="E100" s="3" t="s">
        <v>41</v>
      </c>
      <c r="F100" s="4">
        <v>44344</v>
      </c>
      <c r="G100" s="3" t="s">
        <v>47</v>
      </c>
      <c r="H100" s="3">
        <v>40</v>
      </c>
      <c r="I100" s="3">
        <v>2</v>
      </c>
      <c r="J100" s="4">
        <v>45578</v>
      </c>
      <c r="K100" s="3" t="s">
        <v>61</v>
      </c>
      <c r="L100" s="3" t="s">
        <v>237</v>
      </c>
    </row>
    <row r="101" spans="1:12" ht="15.75" x14ac:dyDescent="0.25">
      <c r="A101" s="2" t="s">
        <v>238</v>
      </c>
      <c r="B101" s="2" t="s">
        <v>9</v>
      </c>
      <c r="C101" s="3" t="s">
        <v>24</v>
      </c>
      <c r="D101" s="3" t="s">
        <v>29</v>
      </c>
      <c r="E101" s="3" t="s">
        <v>41</v>
      </c>
      <c r="F101" s="4">
        <v>45268</v>
      </c>
      <c r="G101" s="3" t="s">
        <v>48</v>
      </c>
      <c r="H101" s="3">
        <v>0</v>
      </c>
      <c r="I101" s="3">
        <v>11</v>
      </c>
      <c r="J101" s="4">
        <v>46298</v>
      </c>
      <c r="K101" s="3" t="s">
        <v>70</v>
      </c>
      <c r="L101" s="3" t="s">
        <v>151</v>
      </c>
    </row>
    <row r="102" spans="1:12" ht="15.75" x14ac:dyDescent="0.25">
      <c r="A102" s="2" t="s">
        <v>239</v>
      </c>
      <c r="B102" s="2" t="s">
        <v>9</v>
      </c>
      <c r="C102" s="3" t="s">
        <v>26</v>
      </c>
      <c r="D102" s="3" t="s">
        <v>29</v>
      </c>
      <c r="E102" s="3" t="s">
        <v>41</v>
      </c>
      <c r="F102" s="4">
        <v>45668</v>
      </c>
      <c r="G102" s="3" t="s">
        <v>46</v>
      </c>
      <c r="H102" s="3">
        <v>15</v>
      </c>
      <c r="I102" s="3">
        <v>5</v>
      </c>
      <c r="J102" s="4">
        <v>45998</v>
      </c>
      <c r="K102" s="3" t="s">
        <v>70</v>
      </c>
      <c r="L102" s="3" t="s">
        <v>240</v>
      </c>
    </row>
    <row r="103" spans="1:12" ht="15.75" x14ac:dyDescent="0.25">
      <c r="A103" s="2" t="s">
        <v>241</v>
      </c>
      <c r="B103" s="2" t="s">
        <v>7</v>
      </c>
      <c r="C103" s="3" t="s">
        <v>25</v>
      </c>
      <c r="D103" s="3" t="s">
        <v>31</v>
      </c>
      <c r="E103" s="3" t="s">
        <v>41</v>
      </c>
      <c r="F103" s="4">
        <v>43516</v>
      </c>
      <c r="G103" s="3" t="s">
        <v>46</v>
      </c>
      <c r="H103" s="3">
        <v>40</v>
      </c>
      <c r="I103" s="3">
        <v>7</v>
      </c>
      <c r="J103" s="4">
        <v>45024</v>
      </c>
      <c r="K103" s="3" t="s">
        <v>61</v>
      </c>
      <c r="L103" s="3" t="s">
        <v>177</v>
      </c>
    </row>
    <row r="104" spans="1:12" ht="15.75" x14ac:dyDescent="0.25">
      <c r="A104" s="2" t="s">
        <v>242</v>
      </c>
      <c r="B104" s="2" t="s">
        <v>4</v>
      </c>
      <c r="C104" s="3" t="s">
        <v>27</v>
      </c>
      <c r="D104" s="3" t="s">
        <v>32</v>
      </c>
      <c r="E104" s="3" t="s">
        <v>42</v>
      </c>
      <c r="F104" s="4">
        <v>45480</v>
      </c>
      <c r="G104" s="3" t="s">
        <v>46</v>
      </c>
      <c r="H104" s="3">
        <v>60</v>
      </c>
      <c r="I104" s="3">
        <v>8</v>
      </c>
      <c r="J104" s="4">
        <v>46298</v>
      </c>
      <c r="K104" s="3" t="s">
        <v>70</v>
      </c>
      <c r="L104" s="3" t="s">
        <v>79</v>
      </c>
    </row>
    <row r="105" spans="1:12" ht="15.75" x14ac:dyDescent="0.25">
      <c r="A105" s="2" t="s">
        <v>243</v>
      </c>
      <c r="B105" s="2" t="s">
        <v>8</v>
      </c>
      <c r="C105" s="3" t="s">
        <v>27</v>
      </c>
      <c r="D105" s="3" t="s">
        <v>34</v>
      </c>
      <c r="E105" s="3" t="s">
        <v>43</v>
      </c>
      <c r="F105" s="4">
        <v>42575</v>
      </c>
      <c r="G105" s="3" t="s">
        <v>46</v>
      </c>
      <c r="H105" s="3">
        <v>100</v>
      </c>
      <c r="I105" s="3">
        <v>9</v>
      </c>
      <c r="J105" s="4">
        <v>43523</v>
      </c>
      <c r="K105" s="3" t="s">
        <v>61</v>
      </c>
      <c r="L105" s="3" t="s">
        <v>244</v>
      </c>
    </row>
    <row r="106" spans="1:12" ht="15.75" x14ac:dyDescent="0.25">
      <c r="A106" s="2" t="s">
        <v>245</v>
      </c>
      <c r="B106" s="2" t="s">
        <v>4</v>
      </c>
      <c r="C106" s="3" t="s">
        <v>16</v>
      </c>
      <c r="D106" s="3" t="s">
        <v>34</v>
      </c>
      <c r="E106" s="3" t="s">
        <v>41</v>
      </c>
      <c r="F106" s="4">
        <v>43728</v>
      </c>
      <c r="G106" s="3" t="s">
        <v>46</v>
      </c>
      <c r="H106" s="3">
        <v>100</v>
      </c>
      <c r="I106" s="3">
        <v>11</v>
      </c>
      <c r="J106" s="4">
        <v>44991</v>
      </c>
      <c r="K106" s="3" t="s">
        <v>61</v>
      </c>
      <c r="L106" s="3" t="s">
        <v>246</v>
      </c>
    </row>
    <row r="107" spans="1:12" ht="15.75" x14ac:dyDescent="0.25">
      <c r="A107" s="2" t="s">
        <v>247</v>
      </c>
      <c r="B107" s="2" t="s">
        <v>1</v>
      </c>
      <c r="C107" s="3" t="s">
        <v>18</v>
      </c>
      <c r="D107" s="3" t="s">
        <v>33</v>
      </c>
      <c r="E107" s="3" t="s">
        <v>37</v>
      </c>
      <c r="F107" s="4">
        <v>43869</v>
      </c>
      <c r="G107" s="3" t="s">
        <v>48</v>
      </c>
      <c r="H107" s="3">
        <v>0</v>
      </c>
      <c r="I107" s="3">
        <v>6</v>
      </c>
      <c r="J107" s="4">
        <v>45658</v>
      </c>
      <c r="K107" s="3" t="s">
        <v>61</v>
      </c>
      <c r="L107" s="3" t="s">
        <v>248</v>
      </c>
    </row>
    <row r="108" spans="1:12" ht="15.75" x14ac:dyDescent="0.25">
      <c r="A108" s="2" t="s">
        <v>249</v>
      </c>
      <c r="B108" s="2" t="s">
        <v>3</v>
      </c>
      <c r="C108" s="3" t="s">
        <v>27</v>
      </c>
      <c r="D108" s="3" t="s">
        <v>33</v>
      </c>
      <c r="E108" s="3" t="s">
        <v>43</v>
      </c>
      <c r="F108" s="4">
        <v>43206</v>
      </c>
      <c r="G108" s="3" t="s">
        <v>46</v>
      </c>
      <c r="H108" s="3">
        <v>80</v>
      </c>
      <c r="I108" s="3">
        <v>4</v>
      </c>
      <c r="J108" s="4">
        <v>44967</v>
      </c>
      <c r="K108" s="3" t="s">
        <v>61</v>
      </c>
      <c r="L108" s="3" t="s">
        <v>250</v>
      </c>
    </row>
    <row r="109" spans="1:12" ht="15.75" x14ac:dyDescent="0.25">
      <c r="A109" s="2" t="s">
        <v>251</v>
      </c>
      <c r="B109" s="2" t="s">
        <v>1</v>
      </c>
      <c r="C109" s="3" t="s">
        <v>23</v>
      </c>
      <c r="D109" s="3" t="s">
        <v>30</v>
      </c>
      <c r="E109" s="3" t="s">
        <v>40</v>
      </c>
      <c r="F109" s="4">
        <v>42564</v>
      </c>
      <c r="G109" s="3" t="s">
        <v>47</v>
      </c>
      <c r="H109" s="3">
        <v>20</v>
      </c>
      <c r="I109" s="3">
        <v>9</v>
      </c>
      <c r="J109" s="4">
        <v>42770</v>
      </c>
      <c r="K109" s="3" t="s">
        <v>61</v>
      </c>
      <c r="L109" s="3" t="s">
        <v>142</v>
      </c>
    </row>
    <row r="110" spans="1:12" ht="15.75" x14ac:dyDescent="0.25">
      <c r="A110" s="2" t="s">
        <v>252</v>
      </c>
      <c r="B110" s="2" t="s">
        <v>7</v>
      </c>
      <c r="C110" s="3" t="s">
        <v>24</v>
      </c>
      <c r="D110" s="3" t="s">
        <v>31</v>
      </c>
      <c r="E110" s="3" t="s">
        <v>37</v>
      </c>
      <c r="F110" s="4">
        <v>46015</v>
      </c>
      <c r="G110" s="3" t="s">
        <v>46</v>
      </c>
      <c r="H110" s="3">
        <v>40</v>
      </c>
      <c r="I110" s="3">
        <v>2</v>
      </c>
      <c r="J110" s="4">
        <v>46298</v>
      </c>
      <c r="K110" s="3" t="s">
        <v>70</v>
      </c>
      <c r="L110" s="3" t="s">
        <v>253</v>
      </c>
    </row>
    <row r="111" spans="1:12" ht="15.75" x14ac:dyDescent="0.25">
      <c r="A111" s="2" t="s">
        <v>254</v>
      </c>
      <c r="B111" s="2" t="s">
        <v>2</v>
      </c>
      <c r="C111" s="3" t="s">
        <v>19</v>
      </c>
      <c r="D111" s="3" t="s">
        <v>29</v>
      </c>
      <c r="E111" s="3" t="s">
        <v>42</v>
      </c>
      <c r="F111" s="4">
        <v>44866</v>
      </c>
      <c r="G111" s="3" t="s">
        <v>46</v>
      </c>
      <c r="H111" s="3">
        <v>15</v>
      </c>
      <c r="I111" s="3">
        <v>4</v>
      </c>
      <c r="J111" s="4">
        <v>46298</v>
      </c>
      <c r="K111" s="3" t="s">
        <v>70</v>
      </c>
      <c r="L111" s="3" t="s">
        <v>68</v>
      </c>
    </row>
    <row r="112" spans="1:12" ht="15.75" x14ac:dyDescent="0.25">
      <c r="A112" s="2" t="s">
        <v>255</v>
      </c>
      <c r="B112" s="2" t="s">
        <v>10</v>
      </c>
      <c r="C112" s="3" t="s">
        <v>18</v>
      </c>
      <c r="D112" s="3" t="s">
        <v>30</v>
      </c>
      <c r="E112" s="3" t="s">
        <v>39</v>
      </c>
      <c r="F112" s="4">
        <v>42758</v>
      </c>
      <c r="G112" s="3" t="s">
        <v>46</v>
      </c>
      <c r="H112" s="3">
        <v>20</v>
      </c>
      <c r="I112" s="3">
        <v>10</v>
      </c>
      <c r="J112" s="4">
        <v>43498</v>
      </c>
      <c r="K112" s="3" t="s">
        <v>61</v>
      </c>
      <c r="L112" s="3" t="s">
        <v>256</v>
      </c>
    </row>
    <row r="113" spans="1:12" ht="15.75" x14ac:dyDescent="0.25">
      <c r="A113" s="2" t="s">
        <v>257</v>
      </c>
      <c r="B113" s="2" t="s">
        <v>11</v>
      </c>
      <c r="C113" s="3" t="s">
        <v>21</v>
      </c>
      <c r="D113" s="3" t="s">
        <v>31</v>
      </c>
      <c r="E113" s="3" t="s">
        <v>44</v>
      </c>
      <c r="F113" s="4">
        <v>45561</v>
      </c>
      <c r="G113" s="3" t="s">
        <v>46</v>
      </c>
      <c r="H113" s="3">
        <v>40</v>
      </c>
      <c r="I113" s="3">
        <v>12</v>
      </c>
      <c r="J113" s="4">
        <v>45828</v>
      </c>
      <c r="K113" s="3" t="s">
        <v>61</v>
      </c>
      <c r="L113" s="3" t="s">
        <v>258</v>
      </c>
    </row>
    <row r="114" spans="1:12" ht="15.75" x14ac:dyDescent="0.25">
      <c r="A114" s="2" t="s">
        <v>259</v>
      </c>
      <c r="B114" s="2" t="s">
        <v>3</v>
      </c>
      <c r="C114" s="3" t="s">
        <v>15</v>
      </c>
      <c r="D114" s="3" t="s">
        <v>32</v>
      </c>
      <c r="E114" s="3" t="s">
        <v>43</v>
      </c>
      <c r="F114" s="4">
        <v>43855</v>
      </c>
      <c r="G114" s="3" t="s">
        <v>46</v>
      </c>
      <c r="H114" s="3">
        <v>60</v>
      </c>
      <c r="I114" s="3">
        <v>4</v>
      </c>
      <c r="J114" s="4">
        <v>45385</v>
      </c>
      <c r="K114" s="3" t="s">
        <v>61</v>
      </c>
      <c r="L114" s="3" t="s">
        <v>260</v>
      </c>
    </row>
    <row r="115" spans="1:12" ht="15.75" x14ac:dyDescent="0.25">
      <c r="A115" s="2" t="s">
        <v>261</v>
      </c>
      <c r="B115" s="2" t="s">
        <v>11</v>
      </c>
      <c r="C115" s="3" t="s">
        <v>10</v>
      </c>
      <c r="D115" s="3" t="s">
        <v>33</v>
      </c>
      <c r="E115" s="3" t="s">
        <v>44</v>
      </c>
      <c r="F115" s="4">
        <v>45431</v>
      </c>
      <c r="G115" s="3" t="s">
        <v>46</v>
      </c>
      <c r="H115" s="3">
        <v>80</v>
      </c>
      <c r="I115" s="3">
        <v>5</v>
      </c>
      <c r="J115" s="4">
        <v>45579</v>
      </c>
      <c r="K115" s="3" t="s">
        <v>61</v>
      </c>
      <c r="L115" s="3" t="s">
        <v>166</v>
      </c>
    </row>
    <row r="116" spans="1:12" ht="15.75" x14ac:dyDescent="0.25">
      <c r="A116" s="2" t="s">
        <v>262</v>
      </c>
      <c r="B116" s="2" t="s">
        <v>11</v>
      </c>
      <c r="C116" s="3" t="s">
        <v>27</v>
      </c>
      <c r="D116" s="3" t="s">
        <v>34</v>
      </c>
      <c r="E116" s="3" t="s">
        <v>38</v>
      </c>
      <c r="F116" s="4">
        <v>45394</v>
      </c>
      <c r="G116" s="3" t="s">
        <v>46</v>
      </c>
      <c r="H116" s="3">
        <v>100</v>
      </c>
      <c r="I116" s="3">
        <v>5</v>
      </c>
      <c r="J116" s="4">
        <v>46298</v>
      </c>
      <c r="K116" s="3" t="s">
        <v>70</v>
      </c>
      <c r="L116" s="3" t="s">
        <v>263</v>
      </c>
    </row>
    <row r="117" spans="1:12" ht="15.75" x14ac:dyDescent="0.25">
      <c r="A117" s="2" t="s">
        <v>264</v>
      </c>
      <c r="B117" s="2" t="s">
        <v>10</v>
      </c>
      <c r="C117" s="3" t="s">
        <v>26</v>
      </c>
      <c r="D117" s="3" t="s">
        <v>31</v>
      </c>
      <c r="E117" s="3" t="s">
        <v>39</v>
      </c>
      <c r="F117" s="4">
        <v>45460</v>
      </c>
      <c r="G117" s="3" t="s">
        <v>46</v>
      </c>
      <c r="H117" s="3">
        <v>40</v>
      </c>
      <c r="I117" s="3">
        <v>9</v>
      </c>
      <c r="J117" s="4">
        <v>46298</v>
      </c>
      <c r="K117" s="3" t="s">
        <v>70</v>
      </c>
      <c r="L117" s="3" t="s">
        <v>265</v>
      </c>
    </row>
    <row r="118" spans="1:12" ht="15.75" x14ac:dyDescent="0.25">
      <c r="A118" s="2" t="s">
        <v>266</v>
      </c>
      <c r="B118" s="2" t="s">
        <v>3</v>
      </c>
      <c r="C118" s="3" t="s">
        <v>16</v>
      </c>
      <c r="D118" s="3" t="s">
        <v>32</v>
      </c>
      <c r="E118" s="3" t="s">
        <v>37</v>
      </c>
      <c r="F118" s="4">
        <v>43938</v>
      </c>
      <c r="G118" s="3" t="s">
        <v>48</v>
      </c>
      <c r="H118" s="3">
        <v>0</v>
      </c>
      <c r="I118" s="3">
        <v>1</v>
      </c>
      <c r="J118" s="4">
        <v>45018</v>
      </c>
      <c r="K118" s="3" t="s">
        <v>61</v>
      </c>
      <c r="L118" s="3" t="s">
        <v>83</v>
      </c>
    </row>
    <row r="119" spans="1:12" ht="15.75" x14ac:dyDescent="0.25">
      <c r="A119" s="2" t="s">
        <v>267</v>
      </c>
      <c r="B119" s="2" t="s">
        <v>6</v>
      </c>
      <c r="C119" s="3" t="s">
        <v>9</v>
      </c>
      <c r="D119" s="3" t="s">
        <v>31</v>
      </c>
      <c r="E119" s="3" t="s">
        <v>42</v>
      </c>
      <c r="F119" s="4">
        <v>42974</v>
      </c>
      <c r="G119" s="3" t="s">
        <v>47</v>
      </c>
      <c r="H119" s="3">
        <v>40</v>
      </c>
      <c r="I119" s="3">
        <v>2</v>
      </c>
      <c r="J119" s="4">
        <v>44234</v>
      </c>
      <c r="K119" s="3" t="s">
        <v>61</v>
      </c>
      <c r="L119" s="3" t="s">
        <v>268</v>
      </c>
    </row>
    <row r="120" spans="1:12" ht="15.75" x14ac:dyDescent="0.25">
      <c r="A120" s="2" t="s">
        <v>269</v>
      </c>
      <c r="B120" s="2" t="s">
        <v>6</v>
      </c>
      <c r="C120" s="3" t="s">
        <v>18</v>
      </c>
      <c r="D120" s="3" t="s">
        <v>33</v>
      </c>
      <c r="E120" s="3" t="s">
        <v>37</v>
      </c>
      <c r="F120" s="4">
        <v>44750</v>
      </c>
      <c r="G120" s="3" t="s">
        <v>47</v>
      </c>
      <c r="H120" s="3">
        <v>80</v>
      </c>
      <c r="I120" s="3">
        <v>5</v>
      </c>
      <c r="J120" s="4">
        <v>45725</v>
      </c>
      <c r="K120" s="3" t="s">
        <v>61</v>
      </c>
      <c r="L120" s="3" t="s">
        <v>270</v>
      </c>
    </row>
    <row r="121" spans="1:12" ht="15.75" x14ac:dyDescent="0.25">
      <c r="A121" s="2" t="s">
        <v>271</v>
      </c>
      <c r="B121" s="2" t="s">
        <v>8</v>
      </c>
      <c r="C121" s="3" t="s">
        <v>10</v>
      </c>
      <c r="D121" s="3" t="s">
        <v>32</v>
      </c>
      <c r="E121" s="3" t="s">
        <v>37</v>
      </c>
      <c r="F121" s="4">
        <v>43907</v>
      </c>
      <c r="G121" s="3" t="s">
        <v>46</v>
      </c>
      <c r="H121" s="3">
        <v>60</v>
      </c>
      <c r="I121" s="3">
        <v>11</v>
      </c>
      <c r="J121" s="4">
        <v>44636</v>
      </c>
      <c r="K121" s="3" t="s">
        <v>61</v>
      </c>
      <c r="L121" s="3" t="s">
        <v>272</v>
      </c>
    </row>
    <row r="122" spans="1:12" ht="15.75" x14ac:dyDescent="0.25">
      <c r="A122" s="2" t="s">
        <v>273</v>
      </c>
      <c r="B122" s="2" t="s">
        <v>1</v>
      </c>
      <c r="C122" s="3" t="s">
        <v>10</v>
      </c>
      <c r="D122" s="3" t="s">
        <v>30</v>
      </c>
      <c r="E122" s="3" t="s">
        <v>42</v>
      </c>
      <c r="F122" s="4">
        <v>45643</v>
      </c>
      <c r="G122" s="3" t="s">
        <v>46</v>
      </c>
      <c r="H122" s="3">
        <v>20</v>
      </c>
      <c r="I122" s="3">
        <v>8</v>
      </c>
      <c r="J122" s="4">
        <v>46077</v>
      </c>
      <c r="K122" s="3" t="s">
        <v>70</v>
      </c>
      <c r="L122" s="3" t="s">
        <v>107</v>
      </c>
    </row>
    <row r="123" spans="1:12" ht="15.75" x14ac:dyDescent="0.25">
      <c r="A123" s="2" t="s">
        <v>274</v>
      </c>
      <c r="B123" s="2" t="s">
        <v>0</v>
      </c>
      <c r="C123" s="3" t="s">
        <v>10</v>
      </c>
      <c r="D123" s="3" t="s">
        <v>34</v>
      </c>
      <c r="E123" s="3" t="s">
        <v>40</v>
      </c>
      <c r="F123" s="4">
        <v>45070</v>
      </c>
      <c r="G123" s="3" t="s">
        <v>46</v>
      </c>
      <c r="H123" s="3">
        <v>100</v>
      </c>
      <c r="I123" s="3">
        <v>10</v>
      </c>
      <c r="J123" s="4">
        <v>46053</v>
      </c>
      <c r="K123" s="3" t="s">
        <v>70</v>
      </c>
      <c r="L123" s="3" t="s">
        <v>140</v>
      </c>
    </row>
    <row r="124" spans="1:12" ht="15.75" x14ac:dyDescent="0.25">
      <c r="A124" s="2" t="s">
        <v>275</v>
      </c>
      <c r="B124" s="2" t="s">
        <v>8</v>
      </c>
      <c r="C124" s="3" t="s">
        <v>17</v>
      </c>
      <c r="D124" s="3" t="s">
        <v>31</v>
      </c>
      <c r="E124" s="3" t="s">
        <v>43</v>
      </c>
      <c r="F124" s="4">
        <v>44322</v>
      </c>
      <c r="G124" s="3" t="s">
        <v>46</v>
      </c>
      <c r="H124" s="3">
        <v>40</v>
      </c>
      <c r="I124" s="3">
        <v>6</v>
      </c>
      <c r="J124" s="4">
        <v>45835</v>
      </c>
      <c r="K124" s="3" t="s">
        <v>61</v>
      </c>
      <c r="L124" s="3" t="s">
        <v>219</v>
      </c>
    </row>
    <row r="125" spans="1:12" ht="15.75" x14ac:dyDescent="0.25">
      <c r="A125" s="2" t="s">
        <v>276</v>
      </c>
      <c r="B125" s="2" t="s">
        <v>8</v>
      </c>
      <c r="C125" s="3" t="s">
        <v>17</v>
      </c>
      <c r="D125" s="3" t="s">
        <v>30</v>
      </c>
      <c r="E125" s="3" t="s">
        <v>43</v>
      </c>
      <c r="F125" s="4">
        <v>42396</v>
      </c>
      <c r="G125" s="3" t="s">
        <v>46</v>
      </c>
      <c r="H125" s="3">
        <v>20</v>
      </c>
      <c r="I125" s="3">
        <v>11</v>
      </c>
      <c r="J125" s="4">
        <v>44209</v>
      </c>
      <c r="K125" s="3" t="s">
        <v>61</v>
      </c>
      <c r="L125" s="3" t="s">
        <v>219</v>
      </c>
    </row>
    <row r="126" spans="1:12" ht="15.75" x14ac:dyDescent="0.25">
      <c r="A126" s="2" t="s">
        <v>277</v>
      </c>
      <c r="B126" s="2" t="s">
        <v>12</v>
      </c>
      <c r="C126" s="3" t="s">
        <v>23</v>
      </c>
      <c r="D126" s="3" t="s">
        <v>29</v>
      </c>
      <c r="E126" s="3" t="s">
        <v>40</v>
      </c>
      <c r="F126" s="4">
        <v>45983</v>
      </c>
      <c r="G126" s="3" t="s">
        <v>46</v>
      </c>
      <c r="H126" s="3">
        <v>15</v>
      </c>
      <c r="I126" s="3">
        <v>10</v>
      </c>
      <c r="J126" s="4">
        <v>46036</v>
      </c>
      <c r="K126" s="3" t="s">
        <v>70</v>
      </c>
      <c r="L126" s="3" t="s">
        <v>170</v>
      </c>
    </row>
    <row r="127" spans="1:12" ht="15.75" x14ac:dyDescent="0.25">
      <c r="A127" s="2" t="s">
        <v>278</v>
      </c>
      <c r="B127" s="2" t="s">
        <v>2</v>
      </c>
      <c r="C127" s="3" t="s">
        <v>27</v>
      </c>
      <c r="D127" s="3" t="s">
        <v>34</v>
      </c>
      <c r="E127" s="3" t="s">
        <v>44</v>
      </c>
      <c r="F127" s="4">
        <v>43561</v>
      </c>
      <c r="G127" s="3" t="s">
        <v>46</v>
      </c>
      <c r="H127" s="3">
        <v>100</v>
      </c>
      <c r="I127" s="3">
        <v>7</v>
      </c>
      <c r="J127" s="4">
        <v>45552</v>
      </c>
      <c r="K127" s="3" t="s">
        <v>61</v>
      </c>
      <c r="L127" s="3" t="s">
        <v>279</v>
      </c>
    </row>
    <row r="128" spans="1:12" ht="15.75" x14ac:dyDescent="0.25">
      <c r="A128" s="2" t="s">
        <v>280</v>
      </c>
      <c r="B128" s="2" t="s">
        <v>11</v>
      </c>
      <c r="C128" s="3" t="s">
        <v>18</v>
      </c>
      <c r="D128" s="3" t="s">
        <v>31</v>
      </c>
      <c r="E128" s="3" t="s">
        <v>40</v>
      </c>
      <c r="F128" s="4">
        <v>42425</v>
      </c>
      <c r="G128" s="3" t="s">
        <v>46</v>
      </c>
      <c r="H128" s="3">
        <v>40</v>
      </c>
      <c r="I128" s="3">
        <v>6</v>
      </c>
      <c r="J128" s="4">
        <v>44239</v>
      </c>
      <c r="K128" s="3" t="s">
        <v>61</v>
      </c>
      <c r="L128" s="3" t="s">
        <v>281</v>
      </c>
    </row>
    <row r="129" spans="1:12" ht="15.75" x14ac:dyDescent="0.25">
      <c r="A129" s="2" t="s">
        <v>282</v>
      </c>
      <c r="B129" s="2" t="s">
        <v>5</v>
      </c>
      <c r="C129" s="3" t="s">
        <v>9</v>
      </c>
      <c r="D129" s="3" t="s">
        <v>30</v>
      </c>
      <c r="E129" s="3" t="s">
        <v>38</v>
      </c>
      <c r="F129" s="4">
        <v>42602</v>
      </c>
      <c r="G129" s="3" t="s">
        <v>46</v>
      </c>
      <c r="H129" s="3">
        <v>20</v>
      </c>
      <c r="I129" s="3">
        <v>7</v>
      </c>
      <c r="J129" s="4">
        <v>42978</v>
      </c>
      <c r="K129" s="3" t="s">
        <v>61</v>
      </c>
      <c r="L129" s="3" t="s">
        <v>283</v>
      </c>
    </row>
    <row r="130" spans="1:12" ht="15.75" x14ac:dyDescent="0.25">
      <c r="A130" s="2" t="s">
        <v>284</v>
      </c>
      <c r="B130" s="2" t="s">
        <v>0</v>
      </c>
      <c r="C130" s="3" t="s">
        <v>9</v>
      </c>
      <c r="D130" s="3" t="s">
        <v>32</v>
      </c>
      <c r="E130" s="3" t="s">
        <v>43</v>
      </c>
      <c r="F130" s="4">
        <v>44018</v>
      </c>
      <c r="G130" s="3" t="s">
        <v>46</v>
      </c>
      <c r="H130" s="3">
        <v>60</v>
      </c>
      <c r="I130" s="3">
        <v>10</v>
      </c>
      <c r="J130" s="4">
        <v>44349</v>
      </c>
      <c r="K130" s="3" t="s">
        <v>61</v>
      </c>
      <c r="L130" s="3" t="s">
        <v>285</v>
      </c>
    </row>
    <row r="131" spans="1:12" ht="15.75" x14ac:dyDescent="0.25">
      <c r="A131" s="2" t="s">
        <v>286</v>
      </c>
      <c r="B131" s="2" t="s">
        <v>3</v>
      </c>
      <c r="C131" s="3" t="s">
        <v>9</v>
      </c>
      <c r="D131" s="3" t="s">
        <v>31</v>
      </c>
      <c r="E131" s="3" t="s">
        <v>39</v>
      </c>
      <c r="F131" s="4">
        <v>45042</v>
      </c>
      <c r="G131" s="3" t="s">
        <v>46</v>
      </c>
      <c r="H131" s="3">
        <v>40</v>
      </c>
      <c r="I131" s="3">
        <v>1</v>
      </c>
      <c r="J131" s="4">
        <v>46298</v>
      </c>
      <c r="K131" s="3" t="s">
        <v>70</v>
      </c>
      <c r="L131" s="3" t="s">
        <v>157</v>
      </c>
    </row>
    <row r="132" spans="1:12" ht="15.75" x14ac:dyDescent="0.25">
      <c r="A132" s="2" t="s">
        <v>287</v>
      </c>
      <c r="B132" s="2" t="s">
        <v>14</v>
      </c>
      <c r="C132" s="3" t="s">
        <v>27</v>
      </c>
      <c r="D132" s="3" t="s">
        <v>30</v>
      </c>
      <c r="E132" s="3" t="s">
        <v>40</v>
      </c>
      <c r="F132" s="4">
        <v>45941</v>
      </c>
      <c r="G132" s="3" t="s">
        <v>46</v>
      </c>
      <c r="H132" s="3">
        <v>20</v>
      </c>
      <c r="I132" s="3">
        <v>5</v>
      </c>
      <c r="J132" s="4">
        <v>46298</v>
      </c>
      <c r="K132" s="3" t="s">
        <v>70</v>
      </c>
      <c r="L132" s="3" t="s">
        <v>288</v>
      </c>
    </row>
    <row r="133" spans="1:12" ht="15.75" x14ac:dyDescent="0.25">
      <c r="A133" s="2" t="s">
        <v>289</v>
      </c>
      <c r="B133" s="2" t="s">
        <v>3</v>
      </c>
      <c r="C133" s="3" t="s">
        <v>25</v>
      </c>
      <c r="D133" s="3" t="s">
        <v>31</v>
      </c>
      <c r="E133" s="3" t="s">
        <v>42</v>
      </c>
      <c r="F133" s="4">
        <v>44596</v>
      </c>
      <c r="G133" s="3" t="s">
        <v>47</v>
      </c>
      <c r="H133" s="3">
        <v>40</v>
      </c>
      <c r="I133" s="3">
        <v>4</v>
      </c>
      <c r="J133" s="4">
        <v>45099</v>
      </c>
      <c r="K133" s="3" t="s">
        <v>61</v>
      </c>
      <c r="L133" s="3" t="s">
        <v>290</v>
      </c>
    </row>
    <row r="134" spans="1:12" ht="15.75" x14ac:dyDescent="0.25">
      <c r="A134" s="2" t="s">
        <v>291</v>
      </c>
      <c r="B134" s="2" t="s">
        <v>8</v>
      </c>
      <c r="C134" s="3" t="s">
        <v>10</v>
      </c>
      <c r="D134" s="3" t="s">
        <v>32</v>
      </c>
      <c r="E134" s="3" t="s">
        <v>41</v>
      </c>
      <c r="F134" s="4">
        <v>42659</v>
      </c>
      <c r="G134" s="3" t="s">
        <v>46</v>
      </c>
      <c r="H134" s="3">
        <v>60</v>
      </c>
      <c r="I134" s="3">
        <v>4</v>
      </c>
      <c r="J134" s="4">
        <v>44321</v>
      </c>
      <c r="K134" s="3" t="s">
        <v>61</v>
      </c>
      <c r="L134" s="3" t="s">
        <v>272</v>
      </c>
    </row>
    <row r="135" spans="1:12" ht="15.75" x14ac:dyDescent="0.25">
      <c r="A135" s="2" t="s">
        <v>292</v>
      </c>
      <c r="B135" s="2" t="s">
        <v>4</v>
      </c>
      <c r="C135" s="3" t="s">
        <v>27</v>
      </c>
      <c r="D135" s="3" t="s">
        <v>32</v>
      </c>
      <c r="E135" s="3" t="s">
        <v>43</v>
      </c>
      <c r="F135" s="4">
        <v>45513</v>
      </c>
      <c r="G135" s="3" t="s">
        <v>46</v>
      </c>
      <c r="H135" s="3">
        <v>60</v>
      </c>
      <c r="I135" s="3">
        <v>3</v>
      </c>
      <c r="J135" s="4">
        <v>46298</v>
      </c>
      <c r="K135" s="3" t="s">
        <v>70</v>
      </c>
      <c r="L135" s="3" t="s">
        <v>79</v>
      </c>
    </row>
    <row r="136" spans="1:12" ht="15.75" x14ac:dyDescent="0.25">
      <c r="A136" s="2" t="s">
        <v>293</v>
      </c>
      <c r="B136" s="2" t="s">
        <v>1</v>
      </c>
      <c r="C136" s="3" t="s">
        <v>26</v>
      </c>
      <c r="D136" s="3" t="s">
        <v>31</v>
      </c>
      <c r="E136" s="3" t="s">
        <v>39</v>
      </c>
      <c r="F136" s="4">
        <v>44113</v>
      </c>
      <c r="G136" s="3" t="s">
        <v>46</v>
      </c>
      <c r="H136" s="3">
        <v>40</v>
      </c>
      <c r="I136" s="3">
        <v>12</v>
      </c>
      <c r="J136" s="4">
        <v>45629</v>
      </c>
      <c r="K136" s="3" t="s">
        <v>61</v>
      </c>
      <c r="L136" s="3" t="s">
        <v>193</v>
      </c>
    </row>
    <row r="137" spans="1:12" ht="15.75" x14ac:dyDescent="0.25">
      <c r="A137" s="2" t="s">
        <v>294</v>
      </c>
      <c r="B137" s="2" t="s">
        <v>7</v>
      </c>
      <c r="C137" s="3" t="s">
        <v>16</v>
      </c>
      <c r="D137" s="3" t="s">
        <v>31</v>
      </c>
      <c r="E137" s="3" t="s">
        <v>40</v>
      </c>
      <c r="F137" s="4">
        <v>43578</v>
      </c>
      <c r="G137" s="3" t="s">
        <v>46</v>
      </c>
      <c r="H137" s="3">
        <v>40</v>
      </c>
      <c r="I137" s="3">
        <v>0</v>
      </c>
      <c r="J137" s="4">
        <v>45178</v>
      </c>
      <c r="K137" s="3" t="s">
        <v>61</v>
      </c>
      <c r="L137" s="3" t="s">
        <v>295</v>
      </c>
    </row>
    <row r="138" spans="1:12" ht="15.75" x14ac:dyDescent="0.25">
      <c r="A138" s="2" t="s">
        <v>296</v>
      </c>
      <c r="B138" s="2" t="s">
        <v>0</v>
      </c>
      <c r="C138" s="3" t="s">
        <v>16</v>
      </c>
      <c r="D138" s="3" t="s">
        <v>29</v>
      </c>
      <c r="E138" s="3" t="s">
        <v>42</v>
      </c>
      <c r="F138" s="4">
        <v>45684</v>
      </c>
      <c r="G138" s="3" t="s">
        <v>46</v>
      </c>
      <c r="H138" s="3">
        <v>15</v>
      </c>
      <c r="I138" s="3">
        <v>2</v>
      </c>
      <c r="J138" s="4">
        <v>46298</v>
      </c>
      <c r="K138" s="3" t="s">
        <v>70</v>
      </c>
      <c r="L138" s="3" t="s">
        <v>297</v>
      </c>
    </row>
    <row r="139" spans="1:12" ht="15.75" x14ac:dyDescent="0.25">
      <c r="A139" s="2" t="s">
        <v>298</v>
      </c>
      <c r="B139" s="2" t="s">
        <v>1</v>
      </c>
      <c r="C139" s="3" t="s">
        <v>24</v>
      </c>
      <c r="D139" s="3" t="s">
        <v>34</v>
      </c>
      <c r="E139" s="3" t="s">
        <v>41</v>
      </c>
      <c r="F139" s="4">
        <v>45568</v>
      </c>
      <c r="G139" s="3" t="s">
        <v>46</v>
      </c>
      <c r="H139" s="3">
        <v>100</v>
      </c>
      <c r="I139" s="3">
        <v>11</v>
      </c>
      <c r="J139" s="4">
        <v>46298</v>
      </c>
      <c r="K139" s="3" t="s">
        <v>70</v>
      </c>
      <c r="L139" s="3" t="s">
        <v>299</v>
      </c>
    </row>
    <row r="140" spans="1:12" ht="15.75" x14ac:dyDescent="0.25">
      <c r="A140" s="2" t="s">
        <v>300</v>
      </c>
      <c r="B140" s="2" t="s">
        <v>4</v>
      </c>
      <c r="C140" s="3" t="s">
        <v>16</v>
      </c>
      <c r="D140" s="3" t="s">
        <v>29</v>
      </c>
      <c r="E140" s="3" t="s">
        <v>41</v>
      </c>
      <c r="F140" s="4">
        <v>42987</v>
      </c>
      <c r="G140" s="3" t="s">
        <v>46</v>
      </c>
      <c r="H140" s="3">
        <v>15</v>
      </c>
      <c r="I140" s="3">
        <v>2</v>
      </c>
      <c r="J140" s="4">
        <v>44547</v>
      </c>
      <c r="K140" s="3" t="s">
        <v>61</v>
      </c>
      <c r="L140" s="3" t="s">
        <v>246</v>
      </c>
    </row>
    <row r="141" spans="1:12" ht="15.75" x14ac:dyDescent="0.25">
      <c r="A141" s="2" t="s">
        <v>301</v>
      </c>
      <c r="B141" s="2" t="s">
        <v>2</v>
      </c>
      <c r="C141" s="3" t="s">
        <v>24</v>
      </c>
      <c r="D141" s="3" t="s">
        <v>32</v>
      </c>
      <c r="E141" s="3" t="s">
        <v>41</v>
      </c>
      <c r="F141" s="4">
        <v>42505</v>
      </c>
      <c r="G141" s="3" t="s">
        <v>46</v>
      </c>
      <c r="H141" s="3">
        <v>60</v>
      </c>
      <c r="I141" s="3">
        <v>11</v>
      </c>
      <c r="J141" s="4">
        <v>42736</v>
      </c>
      <c r="K141" s="3" t="s">
        <v>61</v>
      </c>
      <c r="L141" s="3" t="s">
        <v>227</v>
      </c>
    </row>
    <row r="142" spans="1:12" ht="15.75" x14ac:dyDescent="0.25">
      <c r="A142" s="2" t="s">
        <v>302</v>
      </c>
      <c r="B142" s="2" t="s">
        <v>9</v>
      </c>
      <c r="C142" s="3" t="s">
        <v>9</v>
      </c>
      <c r="D142" s="3" t="s">
        <v>31</v>
      </c>
      <c r="E142" s="3" t="s">
        <v>39</v>
      </c>
      <c r="F142" s="4">
        <v>43987</v>
      </c>
      <c r="G142" s="3" t="s">
        <v>47</v>
      </c>
      <c r="H142" s="3">
        <v>40</v>
      </c>
      <c r="I142" s="3">
        <v>2</v>
      </c>
      <c r="J142" s="4">
        <v>44256</v>
      </c>
      <c r="K142" s="3" t="s">
        <v>61</v>
      </c>
      <c r="L142" s="3" t="s">
        <v>229</v>
      </c>
    </row>
    <row r="143" spans="1:12" ht="15.75" x14ac:dyDescent="0.25">
      <c r="A143" s="2" t="s">
        <v>303</v>
      </c>
      <c r="B143" s="2" t="s">
        <v>7</v>
      </c>
      <c r="C143" s="3" t="s">
        <v>18</v>
      </c>
      <c r="D143" s="3" t="s">
        <v>32</v>
      </c>
      <c r="E143" s="3" t="s">
        <v>40</v>
      </c>
      <c r="F143" s="4">
        <v>42968</v>
      </c>
      <c r="G143" s="3" t="s">
        <v>46</v>
      </c>
      <c r="H143" s="3">
        <v>60</v>
      </c>
      <c r="I143" s="3">
        <v>11</v>
      </c>
      <c r="J143" s="4">
        <v>43947</v>
      </c>
      <c r="K143" s="3" t="s">
        <v>61</v>
      </c>
      <c r="L143" s="3" t="s">
        <v>304</v>
      </c>
    </row>
    <row r="144" spans="1:12" ht="15.75" x14ac:dyDescent="0.25">
      <c r="A144" s="2" t="s">
        <v>305</v>
      </c>
      <c r="B144" s="2" t="s">
        <v>4</v>
      </c>
      <c r="C144" s="3" t="s">
        <v>17</v>
      </c>
      <c r="D144" s="3" t="s">
        <v>32</v>
      </c>
      <c r="E144" s="3" t="s">
        <v>41</v>
      </c>
      <c r="F144" s="4">
        <v>43196</v>
      </c>
      <c r="G144" s="3" t="s">
        <v>46</v>
      </c>
      <c r="H144" s="3">
        <v>60</v>
      </c>
      <c r="I144" s="3">
        <v>5</v>
      </c>
      <c r="J144" s="4">
        <v>44428</v>
      </c>
      <c r="K144" s="3" t="s">
        <v>61</v>
      </c>
      <c r="L144" s="3" t="s">
        <v>306</v>
      </c>
    </row>
    <row r="145" spans="1:12" ht="15.75" x14ac:dyDescent="0.25">
      <c r="A145" s="2" t="s">
        <v>307</v>
      </c>
      <c r="B145" s="2" t="s">
        <v>13</v>
      </c>
      <c r="C145" s="3" t="s">
        <v>20</v>
      </c>
      <c r="D145" s="3" t="s">
        <v>32</v>
      </c>
      <c r="E145" s="3" t="s">
        <v>40</v>
      </c>
      <c r="F145" s="4">
        <v>43809</v>
      </c>
      <c r="G145" s="3" t="s">
        <v>46</v>
      </c>
      <c r="H145" s="3">
        <v>60</v>
      </c>
      <c r="I145" s="3">
        <v>8</v>
      </c>
      <c r="J145" s="4">
        <v>44954</v>
      </c>
      <c r="K145" s="3" t="s">
        <v>61</v>
      </c>
      <c r="L145" s="3" t="s">
        <v>225</v>
      </c>
    </row>
    <row r="146" spans="1:12" ht="15.75" x14ac:dyDescent="0.25">
      <c r="A146" s="2" t="s">
        <v>308</v>
      </c>
      <c r="B146" s="2" t="s">
        <v>2</v>
      </c>
      <c r="C146" s="3" t="s">
        <v>9</v>
      </c>
      <c r="D146" s="3" t="s">
        <v>34</v>
      </c>
      <c r="E146" s="3" t="s">
        <v>37</v>
      </c>
      <c r="F146" s="4">
        <v>45713</v>
      </c>
      <c r="G146" s="3" t="s">
        <v>46</v>
      </c>
      <c r="H146" s="3">
        <v>100</v>
      </c>
      <c r="I146" s="3">
        <v>7</v>
      </c>
      <c r="J146" s="4">
        <v>46046</v>
      </c>
      <c r="K146" s="3" t="s">
        <v>70</v>
      </c>
      <c r="L146" s="3" t="s">
        <v>173</v>
      </c>
    </row>
    <row r="147" spans="1:12" ht="15.75" x14ac:dyDescent="0.25">
      <c r="A147" s="2" t="s">
        <v>309</v>
      </c>
      <c r="B147" s="2" t="s">
        <v>0</v>
      </c>
      <c r="C147" s="3" t="s">
        <v>16</v>
      </c>
      <c r="D147" s="3" t="s">
        <v>30</v>
      </c>
      <c r="E147" s="3" t="s">
        <v>42</v>
      </c>
      <c r="F147" s="4">
        <v>45608</v>
      </c>
      <c r="G147" s="3" t="s">
        <v>47</v>
      </c>
      <c r="H147" s="3">
        <v>20</v>
      </c>
      <c r="I147" s="3">
        <v>12</v>
      </c>
      <c r="J147" s="4">
        <v>46298</v>
      </c>
      <c r="K147" s="3" t="s">
        <v>70</v>
      </c>
      <c r="L147" s="3" t="s">
        <v>297</v>
      </c>
    </row>
    <row r="148" spans="1:12" ht="15.75" x14ac:dyDescent="0.25">
      <c r="A148" s="2" t="s">
        <v>310</v>
      </c>
      <c r="B148" s="2" t="s">
        <v>2</v>
      </c>
      <c r="C148" s="3" t="s">
        <v>16</v>
      </c>
      <c r="D148" s="3" t="s">
        <v>32</v>
      </c>
      <c r="E148" s="3" t="s">
        <v>44</v>
      </c>
      <c r="F148" s="4">
        <v>43759</v>
      </c>
      <c r="G148" s="3" t="s">
        <v>47</v>
      </c>
      <c r="H148" s="3">
        <v>60</v>
      </c>
      <c r="I148" s="3">
        <v>4</v>
      </c>
      <c r="J148" s="4">
        <v>44299</v>
      </c>
      <c r="K148" s="3" t="s">
        <v>61</v>
      </c>
      <c r="L148" s="3" t="s">
        <v>311</v>
      </c>
    </row>
    <row r="149" spans="1:12" ht="15.75" x14ac:dyDescent="0.25">
      <c r="A149" s="2" t="s">
        <v>312</v>
      </c>
      <c r="B149" s="2" t="s">
        <v>10</v>
      </c>
      <c r="C149" s="3" t="s">
        <v>10</v>
      </c>
      <c r="D149" s="3" t="s">
        <v>29</v>
      </c>
      <c r="E149" s="3" t="s">
        <v>41</v>
      </c>
      <c r="F149" s="4">
        <v>44268</v>
      </c>
      <c r="G149" s="3" t="s">
        <v>48</v>
      </c>
      <c r="H149" s="3">
        <v>0</v>
      </c>
      <c r="I149" s="3">
        <v>3</v>
      </c>
      <c r="J149" s="4">
        <v>46045</v>
      </c>
      <c r="K149" s="3" t="s">
        <v>70</v>
      </c>
      <c r="L149" s="3" t="s">
        <v>313</v>
      </c>
    </row>
    <row r="150" spans="1:12" ht="15.75" x14ac:dyDescent="0.25">
      <c r="A150" s="2" t="s">
        <v>314</v>
      </c>
      <c r="B150" s="2" t="s">
        <v>14</v>
      </c>
      <c r="C150" s="3" t="s">
        <v>25</v>
      </c>
      <c r="D150" s="3" t="s">
        <v>31</v>
      </c>
      <c r="E150" s="3" t="s">
        <v>37</v>
      </c>
      <c r="F150" s="4">
        <v>45300</v>
      </c>
      <c r="G150" s="3" t="s">
        <v>46</v>
      </c>
      <c r="H150" s="3">
        <v>40</v>
      </c>
      <c r="I150" s="3">
        <v>12</v>
      </c>
      <c r="J150" s="4">
        <v>46298</v>
      </c>
      <c r="K150" s="3" t="s">
        <v>70</v>
      </c>
      <c r="L150" s="3" t="s">
        <v>315</v>
      </c>
    </row>
    <row r="151" spans="1:12" ht="15.75" x14ac:dyDescent="0.25">
      <c r="A151" s="2" t="s">
        <v>316</v>
      </c>
      <c r="B151" s="2" t="s">
        <v>8</v>
      </c>
      <c r="C151" s="3" t="s">
        <v>10</v>
      </c>
      <c r="D151" s="3" t="s">
        <v>31</v>
      </c>
      <c r="E151" s="3" t="s">
        <v>39</v>
      </c>
      <c r="F151" s="4">
        <v>45667</v>
      </c>
      <c r="G151" s="3" t="s">
        <v>46</v>
      </c>
      <c r="H151" s="3">
        <v>40</v>
      </c>
      <c r="I151" s="3">
        <v>4</v>
      </c>
      <c r="J151" s="4">
        <v>45820</v>
      </c>
      <c r="K151" s="3" t="s">
        <v>61</v>
      </c>
      <c r="L151" s="3" t="s">
        <v>272</v>
      </c>
    </row>
    <row r="152" spans="1:12" x14ac:dyDescent="0.25">
      <c r="L152">
        <f>SUMPRODUCT(--(J2:J151&lt;F2:F151))</f>
        <v>0</v>
      </c>
    </row>
  </sheetData>
  <conditionalFormatting sqref="I2:I151">
    <cfRule type="dataBar" priority="3">
      <dataBar>
        <cfvo type="num" val="0"/>
        <cfvo type="num" val="12"/>
        <color rgb="FF00B050"/>
      </dataBar>
      <extLst>
        <ext xmlns:x14="http://schemas.microsoft.com/office/spreadsheetml/2009/9/main" uri="{B025F937-C7B1-47D3-B67F-A62EFF666E3E}">
          <x14:id>{9BD3CA84-653A-4AEE-8727-8D92868D7583}</x14:id>
        </ext>
      </extLst>
    </cfRule>
  </conditionalFormatting>
  <conditionalFormatting sqref="K2:K151">
    <cfRule type="cellIs" dxfId="0" priority="1" operator="equal">
      <formula>"Lapsed"</formula>
    </cfRule>
  </conditionalFormatting>
  <dataValidations count="2">
    <dataValidation type="list" allowBlank="1" showInputMessage="1" showErrorMessage="1" sqref="D2:D151">
      <formula1>GradeList</formula1>
    </dataValidation>
    <dataValidation type="list" allowBlank="1" showInputMessage="1" showErrorMessage="1" sqref="E2:E151">
      <formula1>Sections</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BD3CA84-653A-4AEE-8727-8D92868D7583}">
            <x14:dataBar minLength="0" maxLength="100" border="1" gradient="0" direction="leftToRight">
              <x14:cfvo type="num">
                <xm:f>0</xm:f>
              </x14:cfvo>
              <x14:cfvo type="num">
                <xm:f>12</xm:f>
              </x14:cfvo>
              <x14:borderColor rgb="FF000000"/>
              <x14:negativeFillColor rgb="FFFF0000"/>
              <x14:axisColor rgb="FF000000"/>
            </x14:dataBar>
          </x14:cfRule>
          <xm:sqref>I2:I151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opLeftCell="A20" workbookViewId="0">
      <selection activeCell="E41" sqref="E41"/>
    </sheetView>
  </sheetViews>
  <sheetFormatPr defaultRowHeight="15" x14ac:dyDescent="0.25"/>
  <cols>
    <col min="1" max="1" width="20.5703125" bestFit="1" customWidth="1"/>
    <col min="2" max="4" width="18.7109375" bestFit="1" customWidth="1"/>
    <col min="5" max="5" width="10.7109375" bestFit="1" customWidth="1"/>
  </cols>
  <sheetData>
    <row r="1" spans="1:4" ht="20.100000000000001" customHeight="1" x14ac:dyDescent="0.25">
      <c r="A1" s="17" t="s">
        <v>317</v>
      </c>
      <c r="B1" s="18">
        <f>COUNTA(Members[Member ID])</f>
        <v>150</v>
      </c>
    </row>
    <row r="2" spans="1:4" ht="20.100000000000001" customHeight="1" x14ac:dyDescent="0.25">
      <c r="A2" s="19" t="s">
        <v>323</v>
      </c>
      <c r="B2" s="20">
        <f>COUNTIF(Members[Membership Status],"Active")</f>
        <v>49</v>
      </c>
    </row>
    <row r="3" spans="1:4" ht="20.100000000000001" customHeight="1" x14ac:dyDescent="0.25">
      <c r="A3" s="19" t="s">
        <v>318</v>
      </c>
      <c r="B3" s="21">
        <f>B2/B1</f>
        <v>0.32666666666666666</v>
      </c>
    </row>
    <row r="4" spans="1:4" ht="20.100000000000001" customHeight="1" x14ac:dyDescent="0.25">
      <c r="A4" s="19" t="s">
        <v>319</v>
      </c>
      <c r="B4" s="22">
        <f>SUMIFS(Members[Dues Amount],Members[Dues Status],"Paid")</f>
        <v>5930</v>
      </c>
    </row>
    <row r="5" spans="1:4" ht="20.100000000000001" customHeight="1" thickBot="1" x14ac:dyDescent="0.3">
      <c r="A5" s="23" t="s">
        <v>320</v>
      </c>
      <c r="B5" s="24">
        <f>AVERAGE(Members[Events Attended])</f>
        <v>6.3733333333333331</v>
      </c>
    </row>
    <row r="9" spans="1:4" ht="16.5" x14ac:dyDescent="0.3">
      <c r="A9" s="5" t="s">
        <v>28</v>
      </c>
      <c r="B9" s="1" t="s">
        <v>321</v>
      </c>
      <c r="C9" s="1" t="s">
        <v>319</v>
      </c>
      <c r="D9" s="1" t="s">
        <v>320</v>
      </c>
    </row>
    <row r="10" spans="1:4" ht="16.5" x14ac:dyDescent="0.3">
      <c r="A10" s="6" t="s">
        <v>29</v>
      </c>
      <c r="B10" s="7">
        <f>COUNTIF(Members[Grade],$A10)</f>
        <v>17</v>
      </c>
      <c r="C10" s="10">
        <f>SUMIFS(Members[Dues Amount],Members[Grade],$A10,Members[Dues Status],"Paid")</f>
        <v>210</v>
      </c>
      <c r="D10" s="8">
        <f>AVERAGEIF(Members[Grade],$A10,Members[Events Attended])</f>
        <v>6.117647058823529</v>
      </c>
    </row>
    <row r="11" spans="1:4" ht="16.5" x14ac:dyDescent="0.3">
      <c r="A11" s="6" t="s">
        <v>30</v>
      </c>
      <c r="B11" s="7">
        <f>COUNTIF(Members[Grade],$A11)</f>
        <v>31</v>
      </c>
      <c r="C11" s="10">
        <f>SUMIFS(Members[Dues Amount],Members[Grade],$A11,Members[Dues Status],"Paid")</f>
        <v>480</v>
      </c>
      <c r="D11" s="8">
        <f>AVERAGEIF(Members[Grade],$A11,Members[Events Attended])</f>
        <v>7.32258064516129</v>
      </c>
    </row>
    <row r="12" spans="1:4" ht="16.5" x14ac:dyDescent="0.3">
      <c r="A12" s="6" t="s">
        <v>31</v>
      </c>
      <c r="B12" s="7">
        <f>COUNTIF(Members[Grade],$A12)</f>
        <v>28</v>
      </c>
      <c r="C12" s="10">
        <f>SUMIFS(Members[Dues Amount],Members[Grade],$A12,Members[Dues Status],"Paid")</f>
        <v>920</v>
      </c>
      <c r="D12" s="8">
        <f>AVERAGEIF(Members[Grade],$A12,Members[Events Attended])</f>
        <v>5.5714285714285712</v>
      </c>
    </row>
    <row r="13" spans="1:4" ht="16.5" x14ac:dyDescent="0.3">
      <c r="A13" s="6" t="s">
        <v>32</v>
      </c>
      <c r="B13" s="7">
        <f>COUNTIF(Members[Grade],$A13)</f>
        <v>34</v>
      </c>
      <c r="C13" s="10">
        <f>SUMIFS(Members[Dues Amount],Members[Grade],$A13,Members[Dues Status],"Paid")</f>
        <v>1680</v>
      </c>
      <c r="D13" s="8">
        <f>AVERAGEIF(Members[Grade],$A13,Members[Events Attended])</f>
        <v>6.382352941176471</v>
      </c>
    </row>
    <row r="14" spans="1:4" ht="16.5" x14ac:dyDescent="0.3">
      <c r="A14" s="6" t="s">
        <v>33</v>
      </c>
      <c r="B14" s="7">
        <f>COUNTIF(Members[Grade],$A14)</f>
        <v>18</v>
      </c>
      <c r="C14" s="10">
        <f>SUMIFS(Members[Dues Amount],Members[Grade],$A14,Members[Dues Status],"Paid")</f>
        <v>1040</v>
      </c>
      <c r="D14" s="8">
        <f>AVERAGEIF(Members[Grade],$A14,Members[Events Attended])</f>
        <v>5.5</v>
      </c>
    </row>
    <row r="15" spans="1:4" ht="16.5" x14ac:dyDescent="0.3">
      <c r="A15" s="6" t="s">
        <v>34</v>
      </c>
      <c r="B15" s="7">
        <f>COUNTIF(Members[Grade],$A15)</f>
        <v>22</v>
      </c>
      <c r="C15" s="10">
        <f>SUMIFS(Members[Dues Amount],Members[Grade],$A15,Members[Dues Status],"Paid")</f>
        <v>1600</v>
      </c>
      <c r="D15" s="8">
        <f>AVERAGEIF(Members[Grade],$A15,Members[Events Attended])</f>
        <v>6.9545454545454541</v>
      </c>
    </row>
    <row r="16" spans="1:4" ht="16.5" x14ac:dyDescent="0.3">
      <c r="A16" s="6" t="s">
        <v>322</v>
      </c>
      <c r="B16" s="7">
        <f>SUM(B10:B15)</f>
        <v>150</v>
      </c>
      <c r="C16" s="11">
        <f t="shared" ref="C16" si="0">SUM(C10:C15)</f>
        <v>5930</v>
      </c>
      <c r="D16" s="9"/>
    </row>
    <row r="19" spans="1:4" x14ac:dyDescent="0.25">
      <c r="A19" s="12" t="s">
        <v>36</v>
      </c>
      <c r="B19" s="13" t="s">
        <v>321</v>
      </c>
      <c r="C19" s="13" t="s">
        <v>70</v>
      </c>
      <c r="D19" s="14" t="s">
        <v>319</v>
      </c>
    </row>
    <row r="20" spans="1:4" x14ac:dyDescent="0.25">
      <c r="A20" s="15" t="s">
        <v>37</v>
      </c>
      <c r="B20" s="10">
        <f>COUNTIF(Members[Section],$A20)</f>
        <v>18</v>
      </c>
      <c r="C20" s="10">
        <f>COUNTIFS(Members[Section],$A20,Members[Membership Status],"Active")</f>
        <v>5</v>
      </c>
      <c r="D20" s="10">
        <f>SUMIFS(Members[Dues Amount],Members[Section],$A20,Members[Dues Status],"Paid")</f>
        <v>530</v>
      </c>
    </row>
    <row r="21" spans="1:4" x14ac:dyDescent="0.25">
      <c r="A21" s="15" t="s">
        <v>38</v>
      </c>
      <c r="B21" s="10">
        <f>COUNTIF(Members[Section],$A21)</f>
        <v>16</v>
      </c>
      <c r="C21" s="10">
        <f>COUNTIFS(Members[Section],$A21,Members[Membership Status],"Active")</f>
        <v>4</v>
      </c>
      <c r="D21" s="10">
        <f>SUMIFS(Members[Dues Amount],Members[Section],$A21,Members[Dues Status],"Paid")</f>
        <v>690</v>
      </c>
    </row>
    <row r="22" spans="1:4" x14ac:dyDescent="0.25">
      <c r="A22" s="15" t="s">
        <v>39</v>
      </c>
      <c r="B22" s="10">
        <f>COUNTIF(Members[Section],$A22)</f>
        <v>21</v>
      </c>
      <c r="C22" s="10">
        <f>COUNTIFS(Members[Section],$A22,Members[Membership Status],"Active")</f>
        <v>8</v>
      </c>
      <c r="D22" s="10">
        <f>SUMIFS(Members[Dues Amount],Members[Section],$A22,Members[Dues Status],"Paid")</f>
        <v>700</v>
      </c>
    </row>
    <row r="23" spans="1:4" x14ac:dyDescent="0.25">
      <c r="A23" s="15" t="s">
        <v>40</v>
      </c>
      <c r="B23" s="10">
        <f>COUNTIF(Members[Section],$A23)</f>
        <v>24</v>
      </c>
      <c r="C23" s="10">
        <f>COUNTIFS(Members[Section],$A23,Members[Membership Status],"Active")</f>
        <v>7</v>
      </c>
      <c r="D23" s="10">
        <f>SUMIFS(Members[Dues Amount],Members[Section],$A23,Members[Dues Status],"Paid")</f>
        <v>910</v>
      </c>
    </row>
    <row r="24" spans="1:4" x14ac:dyDescent="0.25">
      <c r="A24" s="15" t="s">
        <v>41</v>
      </c>
      <c r="B24" s="10">
        <f>COUNTIF(Members[Section],$A24)</f>
        <v>23</v>
      </c>
      <c r="C24" s="10">
        <f>COUNTIFS(Members[Section],$A24,Members[Membership Status],"Active")</f>
        <v>10</v>
      </c>
      <c r="D24" s="10">
        <f>SUMIFS(Members[Dues Amount],Members[Section],$A24,Members[Dues Status],"Paid")</f>
        <v>980</v>
      </c>
    </row>
    <row r="25" spans="1:4" x14ac:dyDescent="0.25">
      <c r="A25" s="15" t="s">
        <v>42</v>
      </c>
      <c r="B25" s="10">
        <f>COUNTIF(Members[Section],$A25)</f>
        <v>14</v>
      </c>
      <c r="C25" s="10">
        <f>COUNTIFS(Members[Section],$A25,Members[Membership Status],"Active")</f>
        <v>7</v>
      </c>
      <c r="D25" s="10">
        <f>SUMIFS(Members[Dues Amount],Members[Section],$A25,Members[Dues Status],"Paid")</f>
        <v>305</v>
      </c>
    </row>
    <row r="26" spans="1:4" x14ac:dyDescent="0.25">
      <c r="A26" s="15" t="s">
        <v>43</v>
      </c>
      <c r="B26" s="10">
        <f>COUNTIF(Members[Section],$A26)</f>
        <v>19</v>
      </c>
      <c r="C26" s="10">
        <f>COUNTIFS(Members[Section],$A26,Members[Membership Status],"Active")</f>
        <v>5</v>
      </c>
      <c r="D26" s="10">
        <f>SUMIFS(Members[Dues Amount],Members[Section],$A26,Members[Dues Status],"Paid")</f>
        <v>1040</v>
      </c>
    </row>
    <row r="27" spans="1:4" x14ac:dyDescent="0.25">
      <c r="A27" s="16" t="s">
        <v>44</v>
      </c>
      <c r="B27" s="10">
        <f>COUNTIF(Members[Section],$A27)</f>
        <v>15</v>
      </c>
      <c r="C27" s="10">
        <f>COUNTIFS(Members[Section],$A27,Members[Membership Status],"Active")</f>
        <v>3</v>
      </c>
      <c r="D27" s="10">
        <f>SUMIFS(Members[Dues Amount],Members[Section],$A27,Members[Dues Status],"Paid")</f>
        <v>775</v>
      </c>
    </row>
    <row r="28" spans="1:4" x14ac:dyDescent="0.25">
      <c r="A28" s="15" t="s">
        <v>322</v>
      </c>
      <c r="B28" s="10">
        <f t="shared" ref="B28:C28" si="1">SUM(B20:B27)</f>
        <v>150</v>
      </c>
      <c r="C28" s="10">
        <f t="shared" si="1"/>
        <v>49</v>
      </c>
      <c r="D28" s="10">
        <f t="shared" ref="D28" si="2">SUM(D20:D27)</f>
        <v>5930</v>
      </c>
    </row>
    <row r="31" spans="1:4" x14ac:dyDescent="0.25">
      <c r="A31" s="1" t="s">
        <v>324</v>
      </c>
      <c r="B31" s="1" t="s">
        <v>325</v>
      </c>
      <c r="C31" s="1" t="s">
        <v>326</v>
      </c>
    </row>
    <row r="32" spans="1:4" x14ac:dyDescent="0.25">
      <c r="A32" s="1">
        <v>2016</v>
      </c>
      <c r="B32" s="1">
        <f>SUMPRODUCT(--(YEAR(Members[Join Date])=$A32))</f>
        <v>18</v>
      </c>
      <c r="C32" s="1">
        <f>SUM($B$32:B32)</f>
        <v>18</v>
      </c>
    </row>
    <row r="33" spans="1:3" x14ac:dyDescent="0.25">
      <c r="A33" s="1">
        <v>2017</v>
      </c>
      <c r="B33" s="1">
        <f>SUMPRODUCT(--(YEAR(Members[Join Date])=$A33))</f>
        <v>14</v>
      </c>
      <c r="C33" s="1">
        <f>SUM($B$32:B33)</f>
        <v>32</v>
      </c>
    </row>
    <row r="34" spans="1:3" x14ac:dyDescent="0.25">
      <c r="A34" s="1">
        <v>2018</v>
      </c>
      <c r="B34" s="1">
        <f>SUMPRODUCT(--(YEAR(Members[Join Date])=$A34))</f>
        <v>7</v>
      </c>
      <c r="C34" s="1">
        <f>SUM($B$32:B34)</f>
        <v>39</v>
      </c>
    </row>
    <row r="35" spans="1:3" x14ac:dyDescent="0.25">
      <c r="A35" s="1">
        <v>2019</v>
      </c>
      <c r="B35" s="1">
        <f>SUMPRODUCT(--(YEAR(Members[Join Date])=$A35))</f>
        <v>21</v>
      </c>
      <c r="C35" s="1">
        <f>SUM($B$32:B35)</f>
        <v>60</v>
      </c>
    </row>
    <row r="36" spans="1:3" x14ac:dyDescent="0.25">
      <c r="A36" s="1">
        <v>2020</v>
      </c>
      <c r="B36" s="1">
        <f>SUMPRODUCT(--(YEAR(Members[Join Date])=$A36))</f>
        <v>13</v>
      </c>
      <c r="C36" s="1">
        <f>SUM($B$32:B36)</f>
        <v>73</v>
      </c>
    </row>
    <row r="37" spans="1:3" x14ac:dyDescent="0.25">
      <c r="A37" s="1">
        <v>2021</v>
      </c>
      <c r="B37" s="1">
        <f>SUMPRODUCT(--(YEAR(Members[Join Date])=$A37))</f>
        <v>11</v>
      </c>
      <c r="C37" s="1">
        <f>SUM($B$32:B37)</f>
        <v>84</v>
      </c>
    </row>
    <row r="38" spans="1:3" x14ac:dyDescent="0.25">
      <c r="A38" s="1">
        <v>2022</v>
      </c>
      <c r="B38" s="1">
        <f>SUMPRODUCT(--(YEAR(Members[Join Date])=$A38))</f>
        <v>15</v>
      </c>
      <c r="C38" s="1">
        <f>SUM($B$32:B38)</f>
        <v>99</v>
      </c>
    </row>
    <row r="39" spans="1:3" x14ac:dyDescent="0.25">
      <c r="A39" s="1">
        <v>2023</v>
      </c>
      <c r="B39" s="1">
        <f>SUMPRODUCT(--(YEAR(Members[Join Date])=$A39))</f>
        <v>14</v>
      </c>
      <c r="C39" s="1">
        <f>SUM($B$32:B39)</f>
        <v>113</v>
      </c>
    </row>
    <row r="40" spans="1:3" x14ac:dyDescent="0.25">
      <c r="A40" s="1">
        <v>2024</v>
      </c>
      <c r="B40" s="1">
        <f>SUMPRODUCT(--(YEAR(Members[Join Date])=$A40))</f>
        <v>19</v>
      </c>
      <c r="C40" s="1">
        <f>SUM($B$32:B40)</f>
        <v>132</v>
      </c>
    </row>
    <row r="41" spans="1:3" x14ac:dyDescent="0.25">
      <c r="A41" s="1">
        <v>2025</v>
      </c>
      <c r="B41" s="1">
        <f>SUMPRODUCT(--(YEAR(Members[Join Date])=$A41))</f>
        <v>18</v>
      </c>
      <c r="C41" s="1">
        <f>SUM($B$32:B41)</f>
        <v>150</v>
      </c>
    </row>
  </sheetData>
  <pageMargins left="0.7" right="0.7" top="0.75" bottom="0.75" header="0.3" footer="0.3"/>
  <ignoredErrors>
    <ignoredError sqref="B16:C16 B20" calculatedColumn="1"/>
  </ignoredErrors>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showGridLines="0" tabSelected="1" topLeftCell="A13" zoomScale="75" zoomScaleNormal="75" workbookViewId="0">
      <selection activeCell="D33" sqref="D33"/>
    </sheetView>
  </sheetViews>
  <sheetFormatPr defaultRowHeight="15" x14ac:dyDescent="0.25"/>
  <cols>
    <col min="1" max="4" width="20.7109375" customWidth="1"/>
  </cols>
  <sheetData>
    <row r="1" spans="1:4" x14ac:dyDescent="0.25">
      <c r="A1" s="28" t="s">
        <v>340</v>
      </c>
      <c r="B1" s="28" t="s">
        <v>341</v>
      </c>
      <c r="C1" s="28" t="s">
        <v>342</v>
      </c>
      <c r="D1" s="28" t="s">
        <v>343</v>
      </c>
    </row>
    <row r="2" spans="1:4" ht="26.25" x14ac:dyDescent="0.25">
      <c r="A2" s="29">
        <f>Summary!B1</f>
        <v>150</v>
      </c>
      <c r="B2" s="29">
        <f>Summary!B2</f>
        <v>49</v>
      </c>
      <c r="C2" s="30">
        <f>Summary!B3</f>
        <v>0.32666666666666666</v>
      </c>
      <c r="D2" s="31">
        <f>Summary!B4</f>
        <v>5930</v>
      </c>
    </row>
    <row r="4" spans="1:4" ht="21" x14ac:dyDescent="0.35">
      <c r="B4" s="33" t="s">
        <v>344</v>
      </c>
      <c r="C4" s="32"/>
      <c r="D4" s="32"/>
    </row>
  </sheetData>
  <mergeCells count="1">
    <mergeCell ref="B4:D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activeCell="G2" sqref="G2:G9"/>
    </sheetView>
  </sheetViews>
  <sheetFormatPr defaultRowHeight="15" x14ac:dyDescent="0.25"/>
  <cols>
    <col min="1" max="1" width="11.140625" bestFit="1" customWidth="1"/>
    <col min="2" max="2" width="9.85546875" bestFit="1" customWidth="1"/>
    <col min="4" max="4" width="14.85546875" bestFit="1" customWidth="1"/>
    <col min="5" max="5" width="13.85546875" bestFit="1" customWidth="1"/>
    <col min="7" max="7" width="12" bestFit="1" customWidth="1"/>
    <col min="9" max="9" width="11.28515625" bestFit="1" customWidth="1"/>
  </cols>
  <sheetData>
    <row r="1" spans="1:9" x14ac:dyDescent="0.25">
      <c r="A1" t="s">
        <v>51</v>
      </c>
      <c r="B1" t="s">
        <v>52</v>
      </c>
      <c r="D1" t="s">
        <v>28</v>
      </c>
      <c r="E1" t="s">
        <v>35</v>
      </c>
      <c r="G1" t="s">
        <v>36</v>
      </c>
      <c r="I1" t="s">
        <v>45</v>
      </c>
    </row>
    <row r="2" spans="1:9" x14ac:dyDescent="0.25">
      <c r="A2" t="s">
        <v>0</v>
      </c>
      <c r="B2" t="s">
        <v>9</v>
      </c>
      <c r="D2" t="s">
        <v>29</v>
      </c>
      <c r="E2">
        <v>15</v>
      </c>
      <c r="G2" t="s">
        <v>37</v>
      </c>
      <c r="I2" t="s">
        <v>46</v>
      </c>
    </row>
    <row r="3" spans="1:9" x14ac:dyDescent="0.25">
      <c r="A3" t="s">
        <v>1</v>
      </c>
      <c r="B3" t="s">
        <v>15</v>
      </c>
      <c r="D3" t="s">
        <v>30</v>
      </c>
      <c r="E3">
        <v>20</v>
      </c>
      <c r="G3" t="s">
        <v>38</v>
      </c>
      <c r="I3" t="s">
        <v>47</v>
      </c>
    </row>
    <row r="4" spans="1:9" x14ac:dyDescent="0.25">
      <c r="A4" t="s">
        <v>2</v>
      </c>
      <c r="B4" t="s">
        <v>16</v>
      </c>
      <c r="D4" t="s">
        <v>31</v>
      </c>
      <c r="E4">
        <v>40</v>
      </c>
      <c r="G4" t="s">
        <v>39</v>
      </c>
      <c r="I4" t="s">
        <v>48</v>
      </c>
    </row>
    <row r="5" spans="1:9" x14ac:dyDescent="0.25">
      <c r="A5" t="s">
        <v>3</v>
      </c>
      <c r="B5" t="s">
        <v>17</v>
      </c>
      <c r="D5" t="s">
        <v>32</v>
      </c>
      <c r="E5">
        <v>60</v>
      </c>
      <c r="G5" t="s">
        <v>40</v>
      </c>
    </row>
    <row r="6" spans="1:9" x14ac:dyDescent="0.25">
      <c r="A6" t="s">
        <v>4</v>
      </c>
      <c r="B6" t="s">
        <v>18</v>
      </c>
      <c r="D6" t="s">
        <v>33</v>
      </c>
      <c r="E6">
        <v>80</v>
      </c>
      <c r="G6" t="s">
        <v>41</v>
      </c>
    </row>
    <row r="7" spans="1:9" x14ac:dyDescent="0.25">
      <c r="A7" t="s">
        <v>5</v>
      </c>
      <c r="B7" t="s">
        <v>19</v>
      </c>
      <c r="D7" t="s">
        <v>34</v>
      </c>
      <c r="E7">
        <v>100</v>
      </c>
      <c r="G7" t="s">
        <v>42</v>
      </c>
    </row>
    <row r="8" spans="1:9" x14ac:dyDescent="0.25">
      <c r="A8" t="s">
        <v>6</v>
      </c>
      <c r="B8" t="s">
        <v>20</v>
      </c>
      <c r="G8" t="s">
        <v>43</v>
      </c>
    </row>
    <row r="9" spans="1:9" x14ac:dyDescent="0.25">
      <c r="A9" t="s">
        <v>7</v>
      </c>
      <c r="B9" t="s">
        <v>21</v>
      </c>
      <c r="G9" t="s">
        <v>44</v>
      </c>
    </row>
    <row r="10" spans="1:9" x14ac:dyDescent="0.25">
      <c r="A10" t="s">
        <v>8</v>
      </c>
      <c r="B10" t="s">
        <v>10</v>
      </c>
    </row>
    <row r="11" spans="1:9" x14ac:dyDescent="0.25">
      <c r="A11" t="s">
        <v>9</v>
      </c>
      <c r="B11" t="s">
        <v>22</v>
      </c>
    </row>
    <row r="12" spans="1:9" x14ac:dyDescent="0.25">
      <c r="A12" t="s">
        <v>10</v>
      </c>
      <c r="B12" t="s">
        <v>23</v>
      </c>
    </row>
    <row r="13" spans="1:9" x14ac:dyDescent="0.25">
      <c r="A13" t="s">
        <v>11</v>
      </c>
      <c r="B13" t="s">
        <v>24</v>
      </c>
    </row>
    <row r="14" spans="1:9" x14ac:dyDescent="0.25">
      <c r="A14" t="s">
        <v>12</v>
      </c>
      <c r="B14" t="s">
        <v>25</v>
      </c>
    </row>
    <row r="15" spans="1:9" x14ac:dyDescent="0.25">
      <c r="A15" t="s">
        <v>13</v>
      </c>
      <c r="B15" t="s">
        <v>26</v>
      </c>
    </row>
    <row r="16" spans="1:9" x14ac:dyDescent="0.25">
      <c r="A16" t="s">
        <v>14</v>
      </c>
      <c r="B16" t="s">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topLeftCell="A32" zoomScale="91" zoomScaleNormal="91" workbookViewId="0">
      <selection activeCell="B4" sqref="B4"/>
    </sheetView>
  </sheetViews>
  <sheetFormatPr defaultRowHeight="15" x14ac:dyDescent="0.25"/>
  <cols>
    <col min="1" max="1" width="13.140625" customWidth="1"/>
    <col min="2" max="2" width="19.28515625" customWidth="1"/>
  </cols>
  <sheetData>
    <row r="1" spans="1:2" x14ac:dyDescent="0.25">
      <c r="A1" s="25" t="s">
        <v>327</v>
      </c>
      <c r="B1" t="s">
        <v>328</v>
      </c>
    </row>
    <row r="2" spans="1:2" x14ac:dyDescent="0.25">
      <c r="A2" s="27" t="s">
        <v>329</v>
      </c>
      <c r="B2" s="26">
        <v>18</v>
      </c>
    </row>
    <row r="3" spans="1:2" x14ac:dyDescent="0.25">
      <c r="A3" s="27" t="s">
        <v>330</v>
      </c>
      <c r="B3" s="26">
        <v>14</v>
      </c>
    </row>
    <row r="4" spans="1:2" x14ac:dyDescent="0.25">
      <c r="A4" s="27" t="s">
        <v>331</v>
      </c>
      <c r="B4" s="26">
        <v>7</v>
      </c>
    </row>
    <row r="5" spans="1:2" x14ac:dyDescent="0.25">
      <c r="A5" s="27" t="s">
        <v>332</v>
      </c>
      <c r="B5" s="26">
        <v>21</v>
      </c>
    </row>
    <row r="6" spans="1:2" x14ac:dyDescent="0.25">
      <c r="A6" s="27" t="s">
        <v>333</v>
      </c>
      <c r="B6" s="26">
        <v>13</v>
      </c>
    </row>
    <row r="7" spans="1:2" x14ac:dyDescent="0.25">
      <c r="A7" s="27" t="s">
        <v>334</v>
      </c>
      <c r="B7" s="26">
        <v>11</v>
      </c>
    </row>
    <row r="8" spans="1:2" x14ac:dyDescent="0.25">
      <c r="A8" s="27" t="s">
        <v>335</v>
      </c>
      <c r="B8" s="26">
        <v>15</v>
      </c>
    </row>
    <row r="9" spans="1:2" x14ac:dyDescent="0.25">
      <c r="A9" s="27" t="s">
        <v>336</v>
      </c>
      <c r="B9" s="26">
        <v>14</v>
      </c>
    </row>
    <row r="10" spans="1:2" x14ac:dyDescent="0.25">
      <c r="A10" s="27" t="s">
        <v>337</v>
      </c>
      <c r="B10" s="26">
        <v>19</v>
      </c>
    </row>
    <row r="11" spans="1:2" x14ac:dyDescent="0.25">
      <c r="A11" s="27" t="s">
        <v>338</v>
      </c>
      <c r="B11" s="26">
        <v>18</v>
      </c>
    </row>
    <row r="15" spans="1:2" x14ac:dyDescent="0.25">
      <c r="A15" s="25" t="s">
        <v>327</v>
      </c>
      <c r="B15" t="s">
        <v>328</v>
      </c>
    </row>
    <row r="16" spans="1:2" x14ac:dyDescent="0.25">
      <c r="A16" s="27" t="s">
        <v>31</v>
      </c>
      <c r="B16" s="26">
        <v>28</v>
      </c>
    </row>
    <row r="17" spans="1:2" x14ac:dyDescent="0.25">
      <c r="A17" s="27" t="s">
        <v>34</v>
      </c>
      <c r="B17" s="26">
        <v>22</v>
      </c>
    </row>
    <row r="18" spans="1:2" x14ac:dyDescent="0.25">
      <c r="A18" s="27" t="s">
        <v>30</v>
      </c>
      <c r="B18" s="26">
        <v>31</v>
      </c>
    </row>
    <row r="19" spans="1:2" x14ac:dyDescent="0.25">
      <c r="A19" s="27" t="s">
        <v>32</v>
      </c>
      <c r="B19" s="26">
        <v>34</v>
      </c>
    </row>
    <row r="20" spans="1:2" x14ac:dyDescent="0.25">
      <c r="A20" s="27" t="s">
        <v>33</v>
      </c>
      <c r="B20" s="26">
        <v>18</v>
      </c>
    </row>
    <row r="21" spans="1:2" x14ac:dyDescent="0.25">
      <c r="A21" s="27" t="s">
        <v>29</v>
      </c>
      <c r="B21" s="26">
        <v>17</v>
      </c>
    </row>
    <row r="25" spans="1:2" x14ac:dyDescent="0.25">
      <c r="A25" s="25" t="s">
        <v>45</v>
      </c>
      <c r="B25" t="s">
        <v>46</v>
      </c>
    </row>
    <row r="27" spans="1:2" x14ac:dyDescent="0.25">
      <c r="A27" s="25" t="s">
        <v>327</v>
      </c>
      <c r="B27" t="s">
        <v>339</v>
      </c>
    </row>
    <row r="28" spans="1:2" x14ac:dyDescent="0.25">
      <c r="A28" s="27" t="s">
        <v>44</v>
      </c>
      <c r="B28" s="26">
        <v>775</v>
      </c>
    </row>
    <row r="29" spans="1:2" x14ac:dyDescent="0.25">
      <c r="A29" s="27" t="s">
        <v>42</v>
      </c>
      <c r="B29" s="26">
        <v>305</v>
      </c>
    </row>
    <row r="30" spans="1:2" x14ac:dyDescent="0.25">
      <c r="A30" s="27" t="s">
        <v>41</v>
      </c>
      <c r="B30" s="26">
        <v>980</v>
      </c>
    </row>
    <row r="31" spans="1:2" x14ac:dyDescent="0.25">
      <c r="A31" s="27" t="s">
        <v>37</v>
      </c>
      <c r="B31" s="26">
        <v>530</v>
      </c>
    </row>
    <row r="32" spans="1:2" x14ac:dyDescent="0.25">
      <c r="A32" s="27" t="s">
        <v>43</v>
      </c>
      <c r="B32" s="26">
        <v>1040</v>
      </c>
    </row>
    <row r="33" spans="1:2" x14ac:dyDescent="0.25">
      <c r="A33" s="27" t="s">
        <v>38</v>
      </c>
      <c r="B33" s="26">
        <v>690</v>
      </c>
    </row>
    <row r="34" spans="1:2" x14ac:dyDescent="0.25">
      <c r="A34" s="27" t="s">
        <v>39</v>
      </c>
      <c r="B34" s="26">
        <v>700</v>
      </c>
    </row>
    <row r="35" spans="1:2" x14ac:dyDescent="0.25">
      <c r="A35" s="27" t="s">
        <v>40</v>
      </c>
      <c r="B35" s="26">
        <v>910</v>
      </c>
    </row>
    <row r="39" spans="1:2" x14ac:dyDescent="0.25">
      <c r="A39" s="25" t="s">
        <v>327</v>
      </c>
      <c r="B39" t="s">
        <v>328</v>
      </c>
    </row>
    <row r="40" spans="1:2" x14ac:dyDescent="0.25">
      <c r="A40" s="27" t="s">
        <v>70</v>
      </c>
      <c r="B40" s="26">
        <v>49</v>
      </c>
    </row>
    <row r="41" spans="1:2" x14ac:dyDescent="0.25">
      <c r="A41" s="27" t="s">
        <v>61</v>
      </c>
      <c r="B41" s="26">
        <v>101</v>
      </c>
    </row>
  </sheetData>
  <pageMargins left="0.7" right="0.7" top="0.75" bottom="0.75" header="0.3" footer="0.3"/>
  <pageSetup orientation="portrait" horizontalDpi="4294967295" verticalDpi="4294967295"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README</vt:lpstr>
      <vt:lpstr>Data</vt:lpstr>
      <vt:lpstr>Summary</vt:lpstr>
      <vt:lpstr>Dashboard</vt:lpstr>
      <vt:lpstr>Lists</vt:lpstr>
      <vt:lpstr>Pivots</vt:lpstr>
      <vt:lpstr>GradeList</vt:lpstr>
      <vt:lpstr>Sections</vt:lpstr>
    </vt:vector>
  </TitlesOfParts>
  <Company>SACC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guestt</dc:creator>
  <cp:lastModifiedBy>guestt</cp:lastModifiedBy>
  <dcterms:created xsi:type="dcterms:W3CDTF">2026-10-03T09:31:00Z</dcterms:created>
  <dcterms:modified xsi:type="dcterms:W3CDTF">2026-10-03T18:19:34Z</dcterms:modified>
</cp:coreProperties>
</file>